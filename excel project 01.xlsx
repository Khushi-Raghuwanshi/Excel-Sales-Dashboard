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86CD43CA-C171-49D7-BEFE-C769AC8B2B01}" xr6:coauthVersionLast="47" xr6:coauthVersionMax="47" xr10:uidLastSave="{00000000-0000-0000-0000-000000000000}"/>
  <bookViews>
    <workbookView xWindow="-110" yWindow="-110" windowWidth="19420" windowHeight="10300" activeTab="2" xr2:uid="{A3E18180-2473-49B0-92FD-1650E40FF05C}"/>
  </bookViews>
  <sheets>
    <sheet name="Pivot Table" sheetId="2" r:id="rId1"/>
    <sheet name="Dashboard" sheetId="3" r:id="rId2"/>
    <sheet name="SELLER DASHBOARD" sheetId="7" r:id="rId3"/>
    <sheet name="Table" sheetId="1" r:id="rId4"/>
  </sheets>
  <definedNames>
    <definedName name="NativeTimeline_Date">#N/A</definedName>
    <definedName name="Slicer_City">#N/A</definedName>
    <definedName name="Slicer_City1">#N/A</definedName>
    <definedName name="Slicer_Item">#N/A</definedName>
    <definedName name="Slicer_Months__Date">#N/A</definedName>
    <definedName name="Slicer_Seller">#N/A</definedName>
    <definedName name="Slicer_Selle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5" i="1" l="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E16" i="2"/>
  <c r="E13" i="2"/>
</calcChain>
</file>

<file path=xl/sharedStrings.xml><?xml version="1.0" encoding="utf-8"?>
<sst xmlns="http://schemas.openxmlformats.org/spreadsheetml/2006/main" count="480" uniqueCount="34">
  <si>
    <t>SHIVAM VERMA</t>
  </si>
  <si>
    <t>Sitapur</t>
  </si>
  <si>
    <t>Mouse</t>
  </si>
  <si>
    <t>Keyboard</t>
  </si>
  <si>
    <t>RAM</t>
  </si>
  <si>
    <t>SSD</t>
  </si>
  <si>
    <t>Mic</t>
  </si>
  <si>
    <t>M/B</t>
  </si>
  <si>
    <t>ADITYA KUMAR</t>
  </si>
  <si>
    <t>Lakhimpur</t>
  </si>
  <si>
    <t>RAM PRAVESH</t>
  </si>
  <si>
    <t>NITESH CHAURASIYA</t>
  </si>
  <si>
    <t>Lucknow</t>
  </si>
  <si>
    <t>GAJENDRA SINGH</t>
  </si>
  <si>
    <t>ABHISHEK DIXIT</t>
  </si>
  <si>
    <t>S no.</t>
  </si>
  <si>
    <t>Seller</t>
  </si>
  <si>
    <t>City</t>
  </si>
  <si>
    <t>Date</t>
  </si>
  <si>
    <t>Item</t>
  </si>
  <si>
    <t>Qty</t>
  </si>
  <si>
    <t>Rate</t>
  </si>
  <si>
    <t>Total</t>
  </si>
  <si>
    <t>Row Labels</t>
  </si>
  <si>
    <t>Grand Total</t>
  </si>
  <si>
    <t>Sum of Total</t>
  </si>
  <si>
    <t>Sum of Qty</t>
  </si>
  <si>
    <t>Jan</t>
  </si>
  <si>
    <t>Feb</t>
  </si>
  <si>
    <t>Mar</t>
  </si>
  <si>
    <t>Apr</t>
  </si>
  <si>
    <t>TOTAL SALES</t>
  </si>
  <si>
    <t>PIVOT TABLES FOR DASHBOARD</t>
  </si>
  <si>
    <t>PIVOT TABLES FOR SELLERS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</si>
</sst>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NR]\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CITYWISE</a:t>
            </a:r>
            <a:r>
              <a:rPr lang="en-US" baseline="0">
                <a:solidFill>
                  <a:schemeClr val="tx1"/>
                </a:solidFill>
              </a:rPr>
              <a:t> SALE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Table'!$A$13:$A$16</c:f>
              <c:strCache>
                <c:ptCount val="3"/>
                <c:pt idx="0">
                  <c:v>Lakhimpur</c:v>
                </c:pt>
                <c:pt idx="1">
                  <c:v>Lucknow</c:v>
                </c:pt>
                <c:pt idx="2">
                  <c:v>Sitapur</c:v>
                </c:pt>
              </c:strCache>
            </c:strRef>
          </c:cat>
          <c:val>
            <c:numRef>
              <c:f>'Pivot Table'!$B$13:$B$16</c:f>
              <c:numCache>
                <c:formatCode>General</c:formatCode>
                <c:ptCount val="3"/>
                <c:pt idx="0">
                  <c:v>456</c:v>
                </c:pt>
                <c:pt idx="1">
                  <c:v>467</c:v>
                </c:pt>
                <c:pt idx="2">
                  <c:v>511</c:v>
                </c:pt>
              </c:numCache>
            </c:numRef>
          </c:val>
          <c:extLst>
            <c:ext xmlns:c16="http://schemas.microsoft.com/office/drawing/2014/chart" uri="{C3380CC4-5D6E-409C-BE32-E72D297353CC}">
              <c16:uniqueId val="{00000000-4582-4595-8098-5DB31AA2CCF1}"/>
            </c:ext>
          </c:extLst>
        </c:ser>
        <c:dLbls>
          <c:showLegendKey val="0"/>
          <c:showVal val="0"/>
          <c:showCatName val="0"/>
          <c:showSerName val="0"/>
          <c:showPercent val="0"/>
          <c:showBubbleSize val="0"/>
        </c:dLbls>
        <c:gapWidth val="150"/>
        <c:axId val="1836374735"/>
        <c:axId val="1836375215"/>
      </c:barChart>
      <c:catAx>
        <c:axId val="18363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75215"/>
        <c:crosses val="autoZero"/>
        <c:auto val="1"/>
        <c:lblAlgn val="ctr"/>
        <c:lblOffset val="100"/>
        <c:noMultiLvlLbl val="0"/>
      </c:catAx>
      <c:valAx>
        <c:axId val="18363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74735"/>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none"/>
          </c:marker>
          <c:cat>
            <c:strRef>
              <c:f>'Pivot Table'!$D$4:$D$8</c:f>
              <c:strCache>
                <c:ptCount val="4"/>
                <c:pt idx="0">
                  <c:v>Jan</c:v>
                </c:pt>
                <c:pt idx="1">
                  <c:v>Feb</c:v>
                </c:pt>
                <c:pt idx="2">
                  <c:v>Mar</c:v>
                </c:pt>
                <c:pt idx="3">
                  <c:v>Apr</c:v>
                </c:pt>
              </c:strCache>
            </c:strRef>
          </c:cat>
          <c:val>
            <c:numRef>
              <c:f>'Pivot Table'!$E$4:$E$8</c:f>
              <c:numCache>
                <c:formatCode>General</c:formatCode>
                <c:ptCount val="4"/>
                <c:pt idx="0">
                  <c:v>1014550</c:v>
                </c:pt>
                <c:pt idx="1">
                  <c:v>926100</c:v>
                </c:pt>
                <c:pt idx="2">
                  <c:v>1108400</c:v>
                </c:pt>
                <c:pt idx="3">
                  <c:v>1038900</c:v>
                </c:pt>
              </c:numCache>
            </c:numRef>
          </c:val>
          <c:smooth val="0"/>
          <c:extLst>
            <c:ext xmlns:c16="http://schemas.microsoft.com/office/drawing/2014/chart" uri="{C3380CC4-5D6E-409C-BE32-E72D297353CC}">
              <c16:uniqueId val="{00000000-5D1B-4D6C-9F32-4BDC9D6196C4}"/>
            </c:ext>
          </c:extLst>
        </c:ser>
        <c:dLbls>
          <c:showLegendKey val="0"/>
          <c:showVal val="0"/>
          <c:showCatName val="0"/>
          <c:showSerName val="0"/>
          <c:showPercent val="0"/>
          <c:showBubbleSize val="0"/>
        </c:dLbls>
        <c:smooth val="0"/>
        <c:axId val="1836390095"/>
        <c:axId val="1836387695"/>
      </c:lineChart>
      <c:catAx>
        <c:axId val="183639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87695"/>
        <c:crosses val="autoZero"/>
        <c:auto val="1"/>
        <c:lblAlgn val="ctr"/>
        <c:lblOffset val="100"/>
        <c:noMultiLvlLbl val="0"/>
      </c:catAx>
      <c:valAx>
        <c:axId val="183638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90095"/>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a:t>
            </a:r>
            <a:r>
              <a:rPr lang="en-US" baseline="0"/>
              <a:t> OF SALE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Keyboard</c:v>
                </c:pt>
                <c:pt idx="1">
                  <c:v>M/B</c:v>
                </c:pt>
                <c:pt idx="2">
                  <c:v>Mic</c:v>
                </c:pt>
                <c:pt idx="3">
                  <c:v>Mouse</c:v>
                </c:pt>
                <c:pt idx="4">
                  <c:v>RAM</c:v>
                </c:pt>
                <c:pt idx="5">
                  <c:v>SSD</c:v>
                </c:pt>
              </c:strCache>
            </c:strRef>
          </c:cat>
          <c:val>
            <c:numRef>
              <c:f>'Pivot Table'!$B$4:$B$10</c:f>
              <c:numCache>
                <c:formatCode>General</c:formatCode>
                <c:ptCount val="6"/>
                <c:pt idx="0">
                  <c:v>5</c:v>
                </c:pt>
                <c:pt idx="1">
                  <c:v>14</c:v>
                </c:pt>
                <c:pt idx="2">
                  <c:v>14</c:v>
                </c:pt>
                <c:pt idx="3">
                  <c:v>11</c:v>
                </c:pt>
                <c:pt idx="4">
                  <c:v>14</c:v>
                </c:pt>
                <c:pt idx="5">
                  <c:v>6</c:v>
                </c:pt>
              </c:numCache>
            </c:numRef>
          </c:val>
          <c:extLst>
            <c:ext xmlns:c16="http://schemas.microsoft.com/office/drawing/2014/chart" uri="{C3380CC4-5D6E-409C-BE32-E72D297353CC}">
              <c16:uniqueId val="{00000000-AA40-4602-8BFD-EE98D93B2534}"/>
            </c:ext>
          </c:extLst>
        </c:ser>
        <c:dLbls>
          <c:dLblPos val="outEnd"/>
          <c:showLegendKey val="0"/>
          <c:showVal val="1"/>
          <c:showCatName val="0"/>
          <c:showSerName val="0"/>
          <c:showPercent val="0"/>
          <c:showBubbleSize val="0"/>
        </c:dLbls>
        <c:gapWidth val="182"/>
        <c:axId val="1836282575"/>
        <c:axId val="1836291695"/>
      </c:barChart>
      <c:catAx>
        <c:axId val="183628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91695"/>
        <c:crosses val="autoZero"/>
        <c:auto val="1"/>
        <c:lblAlgn val="ctr"/>
        <c:lblOffset val="100"/>
        <c:noMultiLvlLbl val="0"/>
      </c:catAx>
      <c:valAx>
        <c:axId val="18362916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3628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Table'!$I$4:$I$8</c:f>
              <c:strCache>
                <c:ptCount val="4"/>
                <c:pt idx="0">
                  <c:v>ABHISHEK DIXIT</c:v>
                </c:pt>
                <c:pt idx="1">
                  <c:v>ADITYA KUMAR</c:v>
                </c:pt>
                <c:pt idx="2">
                  <c:v>RAM PRAVESH</c:v>
                </c:pt>
                <c:pt idx="3">
                  <c:v>SHIVAM VERMA</c:v>
                </c:pt>
              </c:strCache>
            </c:strRef>
          </c:cat>
          <c:val>
            <c:numRef>
              <c:f>'Pivot Table'!$J$4:$J$8</c:f>
              <c:numCache>
                <c:formatCode>General</c:formatCode>
                <c:ptCount val="4"/>
                <c:pt idx="0">
                  <c:v>185400</c:v>
                </c:pt>
                <c:pt idx="1">
                  <c:v>132450</c:v>
                </c:pt>
                <c:pt idx="2">
                  <c:v>204050</c:v>
                </c:pt>
                <c:pt idx="3">
                  <c:v>187150</c:v>
                </c:pt>
              </c:numCache>
            </c:numRef>
          </c:val>
          <c:extLst>
            <c:ext xmlns:c16="http://schemas.microsoft.com/office/drawing/2014/chart" uri="{C3380CC4-5D6E-409C-BE32-E72D297353CC}">
              <c16:uniqueId val="{00000000-0DE4-48A0-85CC-C8A994BDBA21}"/>
            </c:ext>
          </c:extLst>
        </c:ser>
        <c:dLbls>
          <c:dLblPos val="outEnd"/>
          <c:showLegendKey val="0"/>
          <c:showVal val="1"/>
          <c:showCatName val="0"/>
          <c:showSerName val="0"/>
          <c:showPercent val="0"/>
          <c:showBubbleSize val="0"/>
        </c:dLbls>
        <c:gapWidth val="219"/>
        <c:axId val="1836368495"/>
        <c:axId val="1836370895"/>
      </c:barChart>
      <c:catAx>
        <c:axId val="183636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70895"/>
        <c:crosses val="autoZero"/>
        <c:auto val="1"/>
        <c:lblAlgn val="ctr"/>
        <c:lblOffset val="100"/>
        <c:noMultiLvlLbl val="0"/>
      </c:catAx>
      <c:valAx>
        <c:axId val="18363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6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Table!PivotTable15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SALES CITYWISE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Table'!$I$13:$I$16</c:f>
              <c:strCache>
                <c:ptCount val="3"/>
                <c:pt idx="0">
                  <c:v>Lakhimpur</c:v>
                </c:pt>
                <c:pt idx="1">
                  <c:v>Lucknow</c:v>
                </c:pt>
                <c:pt idx="2">
                  <c:v>Sitapur</c:v>
                </c:pt>
              </c:strCache>
            </c:strRef>
          </c:cat>
          <c:val>
            <c:numRef>
              <c:f>'Pivot Table'!$J$13:$J$16</c:f>
              <c:numCache>
                <c:formatCode>General</c:formatCode>
                <c:ptCount val="3"/>
                <c:pt idx="0">
                  <c:v>336500</c:v>
                </c:pt>
                <c:pt idx="1">
                  <c:v>185400</c:v>
                </c:pt>
                <c:pt idx="2">
                  <c:v>187150</c:v>
                </c:pt>
              </c:numCache>
            </c:numRef>
          </c:val>
          <c:extLst>
            <c:ext xmlns:c16="http://schemas.microsoft.com/office/drawing/2014/chart" uri="{C3380CC4-5D6E-409C-BE32-E72D297353CC}">
              <c16:uniqueId val="{00000000-C53F-4EDA-9E11-B5E14F953B1D}"/>
            </c:ext>
          </c:extLst>
        </c:ser>
        <c:dLbls>
          <c:dLblPos val="outEnd"/>
          <c:showLegendKey val="0"/>
          <c:showVal val="1"/>
          <c:showCatName val="0"/>
          <c:showSerName val="0"/>
          <c:showPercent val="0"/>
          <c:showBubbleSize val="0"/>
        </c:dLbls>
        <c:gapWidth val="182"/>
        <c:axId val="1836324335"/>
        <c:axId val="1836323375"/>
      </c:barChart>
      <c:catAx>
        <c:axId val="183632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23375"/>
        <c:crosses val="autoZero"/>
        <c:auto val="1"/>
        <c:lblAlgn val="ctr"/>
        <c:lblOffset val="100"/>
        <c:noMultiLvlLbl val="0"/>
      </c:catAx>
      <c:valAx>
        <c:axId val="183632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SELLER DASHBOARD'!A1"/></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121870</xdr:colOff>
      <xdr:row>0</xdr:row>
      <xdr:rowOff>38485</xdr:rowOff>
    </xdr:from>
    <xdr:to>
      <xdr:col>19</xdr:col>
      <xdr:colOff>192425</xdr:colOff>
      <xdr:row>23</xdr:row>
      <xdr:rowOff>134697</xdr:rowOff>
    </xdr:to>
    <xdr:sp macro="" textlink="">
      <xdr:nvSpPr>
        <xdr:cNvPr id="3" name="Rectangle 2">
          <a:extLst>
            <a:ext uri="{FF2B5EF4-FFF2-40B4-BE49-F238E27FC236}">
              <a16:creationId xmlns:a16="http://schemas.microsoft.com/office/drawing/2014/main" id="{31976FE5-31E5-6591-89D5-F93B61214452}"/>
            </a:ext>
          </a:extLst>
        </xdr:cNvPr>
        <xdr:cNvSpPr/>
      </xdr:nvSpPr>
      <xdr:spPr>
        <a:xfrm>
          <a:off x="121870" y="38485"/>
          <a:ext cx="11648080" cy="4374444"/>
        </a:xfrm>
        <a:prstGeom prst="rect">
          <a:avLst/>
        </a:prstGeom>
        <a:effectLst>
          <a:reflection endPos="0" dist="50800" dir="5400000" sy="-100000" algn="bl" rotWithShape="0"/>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5899</xdr:colOff>
      <xdr:row>1</xdr:row>
      <xdr:rowOff>12830</xdr:rowOff>
    </xdr:from>
    <xdr:to>
      <xdr:col>19</xdr:col>
      <xdr:colOff>6669</xdr:colOff>
      <xdr:row>7</xdr:row>
      <xdr:rowOff>25657</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31678A65-81A0-4925-80A4-BA12A6DFF0B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755394" y="198840"/>
              <a:ext cx="1828800" cy="1128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608829</xdr:colOff>
      <xdr:row>7</xdr:row>
      <xdr:rowOff>57730</xdr:rowOff>
    </xdr:from>
    <xdr:to>
      <xdr:col>19</xdr:col>
      <xdr:colOff>256</xdr:colOff>
      <xdr:row>18</xdr:row>
      <xdr:rowOff>32072</xdr:rowOff>
    </xdr:to>
    <mc:AlternateContent xmlns:mc="http://schemas.openxmlformats.org/markup-compatibility/2006" xmlns:a14="http://schemas.microsoft.com/office/drawing/2010/main">
      <mc:Choice Requires="a14">
        <xdr:graphicFrame macro="">
          <xdr:nvGraphicFramePr>
            <xdr:cNvPr id="5" name="Seller">
              <a:extLst>
                <a:ext uri="{FF2B5EF4-FFF2-40B4-BE49-F238E27FC236}">
                  <a16:creationId xmlns:a16="http://schemas.microsoft.com/office/drawing/2014/main" id="{75B09DE6-220E-4805-998A-469981AB7754}"/>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9748981" y="1359801"/>
              <a:ext cx="1828800" cy="2020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423333</xdr:colOff>
      <xdr:row>18</xdr:row>
      <xdr:rowOff>51313</xdr:rowOff>
    </xdr:from>
    <xdr:to>
      <xdr:col>19</xdr:col>
      <xdr:colOff>6414</xdr:colOff>
      <xdr:row>22</xdr:row>
      <xdr:rowOff>141111</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3CE82775-D5AC-4EEC-A6DA-3A6C1C3AC03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907424" y="3399495"/>
              <a:ext cx="5676515" cy="8338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423332</xdr:colOff>
      <xdr:row>1</xdr:row>
      <xdr:rowOff>19243</xdr:rowOff>
    </xdr:from>
    <xdr:to>
      <xdr:col>15</xdr:col>
      <xdr:colOff>570858</xdr:colOff>
      <xdr:row>18</xdr:row>
      <xdr:rowOff>19242</xdr:rowOff>
    </xdr:to>
    <xdr:graphicFrame macro="">
      <xdr:nvGraphicFramePr>
        <xdr:cNvPr id="9" name="Chart 8">
          <a:extLst>
            <a:ext uri="{FF2B5EF4-FFF2-40B4-BE49-F238E27FC236}">
              <a16:creationId xmlns:a16="http://schemas.microsoft.com/office/drawing/2014/main" id="{0A266805-7575-41CF-89D1-52706688E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12828</xdr:colOff>
      <xdr:row>10</xdr:row>
      <xdr:rowOff>19242</xdr:rowOff>
    </xdr:from>
    <xdr:to>
      <xdr:col>9</xdr:col>
      <xdr:colOff>383567</xdr:colOff>
      <xdr:row>22</xdr:row>
      <xdr:rowOff>126231</xdr:rowOff>
    </xdr:to>
    <xdr:graphicFrame macro="">
      <xdr:nvGraphicFramePr>
        <xdr:cNvPr id="10" name="Chart 9">
          <a:extLst>
            <a:ext uri="{FF2B5EF4-FFF2-40B4-BE49-F238E27FC236}">
              <a16:creationId xmlns:a16="http://schemas.microsoft.com/office/drawing/2014/main" id="{5459391C-FDA6-4321-9ACA-5D2DA6349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307879</xdr:colOff>
      <xdr:row>10</xdr:row>
      <xdr:rowOff>25657</xdr:rowOff>
    </xdr:from>
    <xdr:to>
      <xdr:col>4</xdr:col>
      <xdr:colOff>575990</xdr:colOff>
      <xdr:row>22</xdr:row>
      <xdr:rowOff>115455</xdr:rowOff>
    </xdr:to>
    <xdr:graphicFrame macro="">
      <xdr:nvGraphicFramePr>
        <xdr:cNvPr id="11" name="Chart 10">
          <a:extLst>
            <a:ext uri="{FF2B5EF4-FFF2-40B4-BE49-F238E27FC236}">
              <a16:creationId xmlns:a16="http://schemas.microsoft.com/office/drawing/2014/main" id="{FFA4984B-5AC4-472A-AC06-869367BCF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12827</xdr:colOff>
      <xdr:row>5</xdr:row>
      <xdr:rowOff>134696</xdr:rowOff>
    </xdr:from>
    <xdr:to>
      <xdr:col>9</xdr:col>
      <xdr:colOff>378434</xdr:colOff>
      <xdr:row>9</xdr:row>
      <xdr:rowOff>160353</xdr:rowOff>
    </xdr:to>
    <xdr:sp macro="" textlink="">
      <xdr:nvSpPr>
        <xdr:cNvPr id="12" name="Rectangle 11">
          <a:extLst>
            <a:ext uri="{FF2B5EF4-FFF2-40B4-BE49-F238E27FC236}">
              <a16:creationId xmlns:a16="http://schemas.microsoft.com/office/drawing/2014/main" id="{AA4AE2EC-1B6B-51FA-64A9-28F3F5A84B31}"/>
            </a:ext>
          </a:extLst>
        </xdr:cNvPr>
        <xdr:cNvSpPr/>
      </xdr:nvSpPr>
      <xdr:spPr>
        <a:xfrm>
          <a:off x="3059544" y="1064747"/>
          <a:ext cx="2802981" cy="7696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bg2">
                  <a:lumMod val="25000"/>
                </a:schemeClr>
              </a:solidFill>
            </a:rPr>
            <a:t>TOTAL</a:t>
          </a:r>
          <a:r>
            <a:rPr lang="en-IN" sz="1600" baseline="0">
              <a:solidFill>
                <a:schemeClr val="bg2">
                  <a:lumMod val="25000"/>
                </a:schemeClr>
              </a:solidFill>
            </a:rPr>
            <a:t> SALES</a:t>
          </a:r>
          <a:endParaRPr lang="en-IN" sz="1600">
            <a:solidFill>
              <a:schemeClr val="bg2">
                <a:lumMod val="25000"/>
              </a:schemeClr>
            </a:solidFill>
          </a:endParaRPr>
        </a:p>
      </xdr:txBody>
    </xdr:sp>
    <xdr:clientData/>
  </xdr:twoCellAnchor>
  <xdr:twoCellAnchor>
    <xdr:from>
      <xdr:col>5</xdr:col>
      <xdr:colOff>64142</xdr:colOff>
      <xdr:row>7</xdr:row>
      <xdr:rowOff>76970</xdr:rowOff>
    </xdr:from>
    <xdr:to>
      <xdr:col>9</xdr:col>
      <xdr:colOff>333535</xdr:colOff>
      <xdr:row>9</xdr:row>
      <xdr:rowOff>109041</xdr:rowOff>
    </xdr:to>
    <xdr:sp macro="" textlink="'Pivot Table'!E13">
      <xdr:nvSpPr>
        <xdr:cNvPr id="14" name="Rectangle 13">
          <a:extLst>
            <a:ext uri="{FF2B5EF4-FFF2-40B4-BE49-F238E27FC236}">
              <a16:creationId xmlns:a16="http://schemas.microsoft.com/office/drawing/2014/main" id="{74CAF720-E52E-954D-364E-0500D2BCE8CC}"/>
            </a:ext>
          </a:extLst>
        </xdr:cNvPr>
        <xdr:cNvSpPr/>
      </xdr:nvSpPr>
      <xdr:spPr>
        <a:xfrm>
          <a:off x="3110859" y="1379041"/>
          <a:ext cx="2706767" cy="40409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249BA3-6128-431F-B269-AEEEE017C4ED}" type="TxLink">
            <a:rPr lang="en-US" sz="2400" b="0" i="0" u="none" strike="noStrike">
              <a:solidFill>
                <a:schemeClr val="bg1"/>
              </a:solidFill>
              <a:latin typeface="Calibri"/>
              <a:ea typeface="Calibri"/>
              <a:cs typeface="Calibri"/>
            </a:rPr>
            <a:pPr algn="ctr"/>
            <a:t>INR 2,10,400</a:t>
          </a:fld>
          <a:endParaRPr lang="en-IN" sz="2400">
            <a:solidFill>
              <a:schemeClr val="bg1"/>
            </a:solidFill>
          </a:endParaRPr>
        </a:p>
      </xdr:txBody>
    </xdr:sp>
    <xdr:clientData/>
  </xdr:twoCellAnchor>
  <xdr:twoCellAnchor>
    <xdr:from>
      <xdr:col>0</xdr:col>
      <xdr:colOff>301464</xdr:colOff>
      <xdr:row>1</xdr:row>
      <xdr:rowOff>32071</xdr:rowOff>
    </xdr:from>
    <xdr:to>
      <xdr:col>9</xdr:col>
      <xdr:colOff>391262</xdr:colOff>
      <xdr:row>5</xdr:row>
      <xdr:rowOff>109040</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CE19F9A5-CB3E-B23F-BF77-E7C3FA2AD93C}"/>
            </a:ext>
          </a:extLst>
        </xdr:cNvPr>
        <xdr:cNvSpPr/>
      </xdr:nvSpPr>
      <xdr:spPr>
        <a:xfrm>
          <a:off x="301464" y="218081"/>
          <a:ext cx="5573889" cy="82101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chemeClr val="accent1">
                  <a:lumMod val="75000"/>
                </a:schemeClr>
              </a:solidFill>
              <a:latin typeface="Copperplate Gothic Light" panose="020E0507020206020404" pitchFamily="34" charset="0"/>
            </a:rPr>
            <a:t>DASHBOARD</a:t>
          </a:r>
        </a:p>
      </xdr:txBody>
    </xdr:sp>
    <xdr:clientData/>
  </xdr:twoCellAnchor>
  <xdr:twoCellAnchor>
    <xdr:from>
      <xdr:col>0</xdr:col>
      <xdr:colOff>314293</xdr:colOff>
      <xdr:row>5</xdr:row>
      <xdr:rowOff>128282</xdr:rowOff>
    </xdr:from>
    <xdr:to>
      <xdr:col>4</xdr:col>
      <xdr:colOff>590103</xdr:colOff>
      <xdr:row>9</xdr:row>
      <xdr:rowOff>153939</xdr:rowOff>
    </xdr:to>
    <xdr:sp macro="" textlink="">
      <xdr:nvSpPr>
        <xdr:cNvPr id="17" name="Rectangle 16">
          <a:extLst>
            <a:ext uri="{FF2B5EF4-FFF2-40B4-BE49-F238E27FC236}">
              <a16:creationId xmlns:a16="http://schemas.microsoft.com/office/drawing/2014/main" id="{5494755C-864C-49A8-B4E8-565E4C1D54B0}"/>
            </a:ext>
          </a:extLst>
        </xdr:cNvPr>
        <xdr:cNvSpPr/>
      </xdr:nvSpPr>
      <xdr:spPr>
        <a:xfrm>
          <a:off x="314293" y="1058333"/>
          <a:ext cx="2713184" cy="7696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bg2">
                  <a:lumMod val="25000"/>
                </a:schemeClr>
              </a:solidFill>
            </a:rPr>
            <a:t>TOTAL</a:t>
          </a:r>
          <a:r>
            <a:rPr lang="en-IN" sz="1600" baseline="0">
              <a:solidFill>
                <a:schemeClr val="bg2">
                  <a:lumMod val="25000"/>
                </a:schemeClr>
              </a:solidFill>
            </a:rPr>
            <a:t> ITEMS</a:t>
          </a:r>
          <a:endParaRPr lang="en-IN" sz="1600">
            <a:solidFill>
              <a:schemeClr val="bg2">
                <a:lumMod val="25000"/>
              </a:schemeClr>
            </a:solidFill>
          </a:endParaRPr>
        </a:p>
      </xdr:txBody>
    </xdr:sp>
    <xdr:clientData/>
  </xdr:twoCellAnchor>
  <xdr:twoCellAnchor>
    <xdr:from>
      <xdr:col>0</xdr:col>
      <xdr:colOff>372021</xdr:colOff>
      <xdr:row>7</xdr:row>
      <xdr:rowOff>76969</xdr:rowOff>
    </xdr:from>
    <xdr:to>
      <xdr:col>4</xdr:col>
      <xdr:colOff>545202</xdr:colOff>
      <xdr:row>9</xdr:row>
      <xdr:rowOff>109040</xdr:rowOff>
    </xdr:to>
    <xdr:sp macro="" textlink="'Pivot Table'!E16">
      <xdr:nvSpPr>
        <xdr:cNvPr id="18" name="Rectangle 17">
          <a:extLst>
            <a:ext uri="{FF2B5EF4-FFF2-40B4-BE49-F238E27FC236}">
              <a16:creationId xmlns:a16="http://schemas.microsoft.com/office/drawing/2014/main" id="{D7D65767-AAFD-4477-9B92-C32FCC7DBBC9}"/>
            </a:ext>
          </a:extLst>
        </xdr:cNvPr>
        <xdr:cNvSpPr/>
      </xdr:nvSpPr>
      <xdr:spPr>
        <a:xfrm>
          <a:off x="372021" y="1379040"/>
          <a:ext cx="2610555" cy="40409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451616-D5D5-4EEA-B562-58372885AE78}" type="TxLink">
            <a:rPr lang="en-US" sz="2400" b="0" i="0" u="none" strike="noStrike">
              <a:solidFill>
                <a:schemeClr val="bg1"/>
              </a:solidFill>
              <a:latin typeface="Calibri"/>
              <a:ea typeface="Calibri"/>
              <a:cs typeface="Calibri"/>
            </a:rPr>
            <a:pPr algn="ctr"/>
            <a:t>64</a:t>
          </a:fld>
          <a:endParaRPr lang="en-IN" sz="40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31750</xdr:rowOff>
    </xdr:from>
    <xdr:to>
      <xdr:col>19</xdr:col>
      <xdr:colOff>122830</xdr:colOff>
      <xdr:row>23</xdr:row>
      <xdr:rowOff>170744</xdr:rowOff>
    </xdr:to>
    <xdr:sp macro="" textlink="">
      <xdr:nvSpPr>
        <xdr:cNvPr id="2" name="Rectangle 1">
          <a:extLst>
            <a:ext uri="{FF2B5EF4-FFF2-40B4-BE49-F238E27FC236}">
              <a16:creationId xmlns:a16="http://schemas.microsoft.com/office/drawing/2014/main" id="{1D91C482-8C50-4E13-BCD1-B09101978600}"/>
            </a:ext>
          </a:extLst>
        </xdr:cNvPr>
        <xdr:cNvSpPr/>
      </xdr:nvSpPr>
      <xdr:spPr>
        <a:xfrm>
          <a:off x="57150" y="31750"/>
          <a:ext cx="11648080" cy="4374444"/>
        </a:xfrm>
        <a:prstGeom prst="rect">
          <a:avLst/>
        </a:prstGeom>
        <a:effectLst>
          <a:reflection endPos="0" dist="50800" dir="5400000" sy="-100000" algn="bl" rotWithShape="0"/>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438150</xdr:colOff>
      <xdr:row>5</xdr:row>
      <xdr:rowOff>165100</xdr:rowOff>
    </xdr:from>
    <xdr:to>
      <xdr:col>9</xdr:col>
      <xdr:colOff>342900</xdr:colOff>
      <xdr:row>22</xdr:row>
      <xdr:rowOff>146050</xdr:rowOff>
    </xdr:to>
    <xdr:graphicFrame macro="">
      <xdr:nvGraphicFramePr>
        <xdr:cNvPr id="3" name="Chart 2">
          <a:extLst>
            <a:ext uri="{FF2B5EF4-FFF2-40B4-BE49-F238E27FC236}">
              <a16:creationId xmlns:a16="http://schemas.microsoft.com/office/drawing/2014/main" id="{248927A5-CC7F-4520-ADA8-616029DF8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514350</xdr:colOff>
      <xdr:row>9</xdr:row>
      <xdr:rowOff>50800</xdr:rowOff>
    </xdr:from>
    <xdr:to>
      <xdr:col>18</xdr:col>
      <xdr:colOff>514350</xdr:colOff>
      <xdr:row>22</xdr:row>
      <xdr:rowOff>165100</xdr:rowOff>
    </xdr:to>
    <mc:AlternateContent xmlns:mc="http://schemas.openxmlformats.org/markup-compatibility/2006" xmlns:a14="http://schemas.microsoft.com/office/drawing/2010/main">
      <mc:Choice Requires="a14">
        <xdr:graphicFrame macro="">
          <xdr:nvGraphicFramePr>
            <xdr:cNvPr id="6" name="Seller 1">
              <a:extLst>
                <a:ext uri="{FF2B5EF4-FFF2-40B4-BE49-F238E27FC236}">
                  <a16:creationId xmlns:a16="http://schemas.microsoft.com/office/drawing/2014/main" id="{76FCEC57-06D7-4F54-BDD2-99C2D75F95D7}"/>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9658350" y="1708150"/>
              <a:ext cx="1828800" cy="250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400050</xdr:colOff>
      <xdr:row>1</xdr:row>
      <xdr:rowOff>44450</xdr:rowOff>
    </xdr:from>
    <xdr:to>
      <xdr:col>15</xdr:col>
      <xdr:colOff>476250</xdr:colOff>
      <xdr:row>9</xdr:row>
      <xdr:rowOff>31749</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1E9D8DF2-8C6E-4BBC-930D-AE4E3914FDD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886450" y="228600"/>
              <a:ext cx="3733800" cy="146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412750</xdr:colOff>
      <xdr:row>9</xdr:row>
      <xdr:rowOff>69850</xdr:rowOff>
    </xdr:from>
    <xdr:to>
      <xdr:col>15</xdr:col>
      <xdr:colOff>469900</xdr:colOff>
      <xdr:row>22</xdr:row>
      <xdr:rowOff>146050</xdr:rowOff>
    </xdr:to>
    <xdr:graphicFrame macro="">
      <xdr:nvGraphicFramePr>
        <xdr:cNvPr id="9" name="Chart 8">
          <a:extLst>
            <a:ext uri="{FF2B5EF4-FFF2-40B4-BE49-F238E27FC236}">
              <a16:creationId xmlns:a16="http://schemas.microsoft.com/office/drawing/2014/main" id="{C4DE7C08-99C9-400D-BA35-8370F7F8E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1</xdr:row>
      <xdr:rowOff>25400</xdr:rowOff>
    </xdr:from>
    <xdr:to>
      <xdr:col>9</xdr:col>
      <xdr:colOff>354189</xdr:colOff>
      <xdr:row>5</xdr:row>
      <xdr:rowOff>109810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698C2EF6-8259-49BB-8F86-33B7B6698B06}"/>
            </a:ext>
          </a:extLst>
        </xdr:cNvPr>
        <xdr:cNvSpPr/>
      </xdr:nvSpPr>
      <xdr:spPr>
        <a:xfrm>
          <a:off x="266700" y="209550"/>
          <a:ext cx="5573889" cy="82101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accent1">
                  <a:lumMod val="75000"/>
                </a:schemeClr>
              </a:solidFill>
              <a:latin typeface="Copperplate Gothic Light" panose="020E0507020206020404" pitchFamily="34" charset="0"/>
            </a:rPr>
            <a:t>SELLER</a:t>
          </a:r>
          <a:r>
            <a:rPr lang="en-IN" sz="4000" baseline="0">
              <a:solidFill>
                <a:schemeClr val="accent1">
                  <a:lumMod val="75000"/>
                </a:schemeClr>
              </a:solidFill>
              <a:latin typeface="Copperplate Gothic Light" panose="020E0507020206020404" pitchFamily="34" charset="0"/>
            </a:rPr>
            <a:t> DETAILS</a:t>
          </a:r>
          <a:endParaRPr lang="en-IN" sz="4000">
            <a:solidFill>
              <a:schemeClr val="accent1">
                <a:lumMod val="75000"/>
              </a:schemeClr>
            </a:solidFill>
            <a:latin typeface="Copperplate Gothic Light" panose="020E0507020206020404" pitchFamily="34" charset="0"/>
          </a:endParaRPr>
        </a:p>
      </xdr:txBody>
    </xdr:sp>
    <xdr:clientData/>
  </xdr:twoCellAnchor>
  <xdr:twoCellAnchor editAs="oneCell">
    <xdr:from>
      <xdr:col>15</xdr:col>
      <xdr:colOff>508000</xdr:colOff>
      <xdr:row>1</xdr:row>
      <xdr:rowOff>44450</xdr:rowOff>
    </xdr:from>
    <xdr:to>
      <xdr:col>18</xdr:col>
      <xdr:colOff>508000</xdr:colOff>
      <xdr:row>9</xdr:row>
      <xdr:rowOff>25400</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0598CAAE-15BE-4AD7-BDAD-3D2EBF25F19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652000" y="228600"/>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273050</xdr:colOff>
      <xdr:row>5</xdr:row>
      <xdr:rowOff>158750</xdr:rowOff>
    </xdr:from>
    <xdr:to>
      <xdr:col>3</xdr:col>
      <xdr:colOff>400050</xdr:colOff>
      <xdr:row>22</xdr:row>
      <xdr:rowOff>152400</xdr:rowOff>
    </xdr:to>
    <mc:AlternateContent xmlns:mc="http://schemas.openxmlformats.org/markup-compatibility/2006" xmlns:a14="http://schemas.microsoft.com/office/drawing/2010/main">
      <mc:Choice Requires="a14">
        <xdr:graphicFrame macro="">
          <xdr:nvGraphicFramePr>
            <xdr:cNvPr id="12" name="Item">
              <a:extLst>
                <a:ext uri="{FF2B5EF4-FFF2-40B4-BE49-F238E27FC236}">
                  <a16:creationId xmlns:a16="http://schemas.microsoft.com/office/drawing/2014/main" id="{D1235F81-79E3-4FF1-9454-8327307629F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73050" y="1079500"/>
              <a:ext cx="1955800" cy="312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9.715965162039" createdVersion="8" refreshedVersion="8" minRefreshableVersion="3" recordCount="144" xr:uid="{2B21CCA6-D99E-419B-B2B6-253D472C9627}">
  <cacheSource type="worksheet">
    <worksheetSource name="Table1"/>
  </cacheSource>
  <cacheFields count="10">
    <cacheField name="S no."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9"/>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Days (Date)" numFmtId="0" databaseField="0">
      <fieldGroup base="3">
        <rangePr groupBy="days" startDate="2025-01-01T00:00:00" endDate="2025-04-0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025"/>
        </groupItems>
      </fieldGroup>
    </cacheField>
    <cacheField name="Months (Date)" numFmtId="0" databaseField="0">
      <fieldGroup base="3">
        <rangePr groupBy="months" startDate="2025-01-01T00:00:00" endDate="2025-04-06T00:00:00"/>
        <groupItems count="14">
          <s v="&lt;01-01-2025"/>
          <s v="Jan"/>
          <s v="Feb"/>
          <s v="Mar"/>
          <s v="Apr"/>
          <s v="May"/>
          <s v="Jun"/>
          <s v="Jul"/>
          <s v="Aug"/>
          <s v="Sep"/>
          <s v="Oct"/>
          <s v="Nov"/>
          <s v="Dec"/>
          <s v="&gt;06-04-2025"/>
        </groupItems>
      </fieldGroup>
    </cacheField>
  </cacheFields>
  <extLst>
    <ext xmlns:x14="http://schemas.microsoft.com/office/spreadsheetml/2009/9/main" uri="{725AE2AE-9491-48be-B2B4-4EB974FC3084}">
      <x14:pivotCacheDefinition pivotCacheId="830846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F5F8E-6905-47E9-B94A-F98EC384B1A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J8" firstHeaderRow="1" firstDataRow="1" firstDataCol="1"/>
  <pivotFields count="10">
    <pivotField showAll="0"/>
    <pivotField axis="axisRow" showAll="0">
      <items count="7">
        <item x="5"/>
        <item x="1"/>
        <item h="1" x="4"/>
        <item h="1" x="3"/>
        <item x="2"/>
        <item x="0"/>
        <item t="default"/>
      </items>
    </pivotField>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sd="0" x="4"/>
        <item h="1" sd="0" x="5"/>
        <item h="1" sd="0" x="6"/>
        <item h="1" sd="0" x="7"/>
        <item h="1" sd="0" x="8"/>
        <item h="1" sd="0" x="9"/>
        <item h="1" sd="0" x="10"/>
        <item h="1" sd="0" x="11"/>
        <item h="1" sd="0" x="12"/>
        <item h="1" sd="0" x="13"/>
        <item t="default"/>
      </items>
    </pivotField>
  </pivotFields>
  <rowFields count="1">
    <field x="1"/>
  </rowFields>
  <rowItems count="5">
    <i>
      <x/>
    </i>
    <i>
      <x v="1"/>
    </i>
    <i>
      <x v="4"/>
    </i>
    <i>
      <x v="5"/>
    </i>
    <i t="grand">
      <x/>
    </i>
  </rowItems>
  <colItems count="1">
    <i/>
  </colItems>
  <dataFields count="1">
    <dataField name="Sum of Total" fld="7" baseField="0" baseItem="0"/>
  </dataFields>
  <chartFormats count="4">
    <chartFormat chart="10"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3D23B-2642-4EEB-91E9-4FF61BD030D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0" firstHeaderRow="1" firstDataRow="1" firstDataCol="1"/>
  <pivotFields count="10">
    <pivotField showAll="0"/>
    <pivotField showAll="0">
      <items count="7">
        <item h="1" x="5"/>
        <item h="1" x="1"/>
        <item x="4"/>
        <item h="1" x="3"/>
        <item h="1" x="2"/>
        <item h="1" x="0"/>
        <item t="default"/>
      </items>
    </pivotField>
    <pivotField showAll="0">
      <items count="4">
        <item h="1" x="1"/>
        <item h="1"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Qty" fld="5"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48"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870DE8-931A-4BFC-A844-BBD653F9EA4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5:D16" firstHeaderRow="1" firstDataRow="1" firstDataCol="0"/>
  <pivotFields count="10">
    <pivotField showAll="0"/>
    <pivotField showAll="0">
      <items count="7">
        <item h="1" x="5"/>
        <item h="1" x="1"/>
        <item x="4"/>
        <item h="1" x="3"/>
        <item h="1" x="2"/>
        <item h="1" x="0"/>
        <item t="default"/>
      </items>
    </pivotField>
    <pivotField showAll="0">
      <items count="4">
        <item h="1" x="1"/>
        <item h="1"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5" baseField="0" baseItem="0"/>
  </dataFields>
  <pivotTableStyleInfo name="PivotStyleLight16" showRowHeaders="1" showColHeaders="1" showRowStripes="0" showColStripes="0" showLastColumn="1"/>
  <filters count="1">
    <filter fld="3" type="dateBetween" evalOrder="-1" id="48"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B1D1B2-5D1C-48A1-BE55-65D0DE0A8861}"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2:D13" firstHeaderRow="1" firstDataRow="1" firstDataCol="0"/>
  <pivotFields count="10">
    <pivotField showAll="0"/>
    <pivotField showAll="0">
      <items count="7">
        <item h="1" x="5"/>
        <item h="1" x="1"/>
        <item x="4"/>
        <item h="1" x="3"/>
        <item h="1" x="2"/>
        <item h="1" x="0"/>
        <item t="default"/>
      </items>
    </pivotField>
    <pivotField showAll="0">
      <items count="4">
        <item h="1" x="1"/>
        <item h="1"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filters count="1">
    <filter fld="3" type="dateBetween" evalOrder="-1" id="48"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58B16-8C3D-4D89-9C55-CD2172E930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pivotFields count="10">
    <pivotField showAll="0"/>
    <pivotField showAll="0">
      <items count="7">
        <item x="5"/>
        <item x="1"/>
        <item h="1" x="4"/>
        <item h="1" x="3"/>
        <item x="2"/>
        <item x="0"/>
        <item t="default"/>
      </items>
    </pivotField>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v="1"/>
    </i>
    <i>
      <x v="2"/>
    </i>
    <i>
      <x v="3"/>
    </i>
    <i>
      <x v="4"/>
    </i>
    <i t="grand">
      <x/>
    </i>
  </rowItems>
  <colItems count="1">
    <i/>
  </colItems>
  <dataFields count="1">
    <dataField name="Sum of Total" fld="7"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C1E6D3-E7E7-4ECB-B2DF-37733D878E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6" firstHeaderRow="1" firstDataRow="1" firstDataCol="1"/>
  <pivotFields count="10">
    <pivotField showAll="0"/>
    <pivotField showAll="0">
      <items count="7">
        <item x="5"/>
        <item x="1"/>
        <item h="1" x="4"/>
        <item h="1" x="3"/>
        <item x="2"/>
        <item x="0"/>
        <item t="default"/>
      </items>
    </pivotField>
    <pivotField axis="axisRow"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Qty"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44078E-556F-4598-821F-B9AB4B26AC4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12:J16" firstHeaderRow="1" firstDataRow="1" firstDataCol="1"/>
  <pivotFields count="10">
    <pivotField showAll="0"/>
    <pivotField showAll="0">
      <items count="7">
        <item x="5"/>
        <item x="1"/>
        <item h="1" x="4"/>
        <item h="1" x="3"/>
        <item x="2"/>
        <item x="0"/>
        <item t="default"/>
      </items>
    </pivotField>
    <pivotField axis="axisRow"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h="1" x="1"/>
        <item h="1" x="5"/>
        <item h="1" x="4"/>
        <item x="0"/>
        <item h="1" x="2"/>
        <item h="1"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sd="0" x="4"/>
        <item h="1" sd="0" x="5"/>
        <item h="1" sd="0" x="6"/>
        <item h="1" sd="0" x="7"/>
        <item h="1" sd="0" x="8"/>
        <item h="1" sd="0" x="9"/>
        <item h="1" sd="0" x="10"/>
        <item h="1" sd="0" x="11"/>
        <item h="1" sd="0" x="12"/>
        <item h="1" sd="0" x="13"/>
        <item t="default"/>
      </items>
    </pivotField>
  </pivotFields>
  <rowFields count="1">
    <field x="2"/>
  </rowFields>
  <rowItems count="4">
    <i>
      <x/>
    </i>
    <i>
      <x v="1"/>
    </i>
    <i>
      <x v="2"/>
    </i>
    <i t="grand">
      <x/>
    </i>
  </rowItems>
  <colItems count="1">
    <i/>
  </colItems>
  <dataFields count="1">
    <dataField name="Sum of Total" fld="7" baseField="0" baseItem="0"/>
  </dataFields>
  <chartFormats count="7">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8477F41-8772-45E2-8E7A-51A077E4F85C}" sourceName="City">
  <pivotTables>
    <pivotTable tabId="2" name="PivotTable1"/>
    <pivotTable tabId="2" name="PivotTable12"/>
    <pivotTable tabId="2" name="PivotTable13"/>
  </pivotTables>
  <data>
    <tabular pivotCacheId="830846043">
      <items count="3">
        <i x="0" s="1"/>
        <i x="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FA43EF50-9D00-46F4-B1FF-8BFA2BEC3845}" sourceName="Seller">
  <pivotTables>
    <pivotTable tabId="2" name="PivotTable1"/>
    <pivotTable tabId="2" name="PivotTable12"/>
    <pivotTable tabId="2" name="PivotTable13"/>
  </pivotTables>
  <data>
    <tabular pivotCacheId="830846043">
      <items count="6">
        <i x="4" s="1"/>
        <i x="0"/>
        <i x="5" nd="1"/>
        <i x="1" nd="1"/>
        <i x="3"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1" xr10:uid="{2FD89DC7-9D8E-4435-B963-9A43C5C42E7D}" sourceName="Seller">
  <pivotTables>
    <pivotTable tabId="2" name="PivotTable14"/>
    <pivotTable tabId="2" name="PivotTable15"/>
  </pivotTables>
  <data>
    <tabular pivotCacheId="830846043">
      <items count="6">
        <i x="5" s="1"/>
        <i x="1" s="1"/>
        <i x="4"/>
        <i x="3"/>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9F0AB18-976E-49ED-9F29-E447B2FFDE85}" sourceName="Months (Date)">
  <pivotTables>
    <pivotTable tabId="2" name="PivotTable14"/>
    <pivotTable tabId="2" name="PivotTable15"/>
  </pivotTables>
  <data>
    <tabular pivotCacheId="830846043">
      <items count="14">
        <i x="1"/>
        <i x="2"/>
        <i x="3"/>
        <i x="4" s="1"/>
        <i x="5"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6F236B7-7142-41B7-B989-7148C9BE18F9}" sourceName="City">
  <pivotTables>
    <pivotTable tabId="2" name="PivotTable15"/>
  </pivotTables>
  <data>
    <tabular pivotCacheId="830846043">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E80D7C0-B188-4EC5-B13B-A0940C5E368D}" sourceName="Item">
  <pivotTables>
    <pivotTable tabId="2" name="PivotTable14"/>
  </pivotTables>
  <data>
    <tabular pivotCacheId="830846043">
      <items count="6">
        <i x="1" s="1"/>
        <i x="5" s="1"/>
        <i x="4" s="1"/>
        <i x="0"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0BF5288-A896-4812-9E0F-3D59C546E785}" cache="Slicer_City" caption="City" rowHeight="241300"/>
  <slicer name="Seller" xr10:uid="{493E4B01-193B-4ACA-8DD5-23678F88670D}" cache="Slicer_Seller" caption="Sell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34202D2F-883B-4A5B-9DD3-DB8658F8D4FD}" cache="Slicer_Seller1" caption="Seller" rowHeight="241300"/>
  <slicer name="Months (Date)" xr10:uid="{59D2431B-317D-4F69-9655-96DAE2A0E1F4}" cache="Slicer_Months__Date" caption="Months (Date)" rowHeight="241300"/>
  <slicer name="City 1" xr10:uid="{5D10BD65-9D2B-4769-A605-E54780CF06A6}" cache="Slicer_City1" caption="City" rowHeight="241300"/>
  <slicer name="Item" xr10:uid="{756C9967-4F42-459A-9739-C3490F979032}"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FF942-3307-4AF8-8329-2D59B97DBB1D}" name="Table1" displayName="Table1" ref="A1:H145" totalsRowShown="0">
  <autoFilter ref="A1:H145" xr:uid="{380FF942-3307-4AF8-8329-2D59B97DBB1D}"/>
  <tableColumns count="8">
    <tableColumn id="1" xr3:uid="{BC5916F3-FD10-4BE2-82BE-C0BF73E4F5E1}" name="S no."/>
    <tableColumn id="2" xr3:uid="{D97E5B9B-F9CF-4E6A-915B-A1A22A55CA1D}" name="Seller"/>
    <tableColumn id="3" xr3:uid="{A184CFD1-A43A-4278-AA11-E66DD6D19D02}" name="City"/>
    <tableColumn id="4" xr3:uid="{6CCAC0C3-828F-4DC5-A5B4-5F0458500D57}" name="Date" dataDxfId="0"/>
    <tableColumn id="5" xr3:uid="{0C61EB57-F5C2-4463-90BA-7754D323780E}" name="Item"/>
    <tableColumn id="6" xr3:uid="{F9343107-F0C7-4C3E-ABAE-2616114C0634}" name="Qty"/>
    <tableColumn id="7" xr3:uid="{BE4BF67F-10C3-44A3-A5FE-7A968B277AB7}" name="Rate"/>
    <tableColumn id="8" xr3:uid="{E47E5BE9-93F8-49B6-942F-9E4DBE08AE31}" name="Total">
      <calculatedColumnFormula>F2*G2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6ADD7B9-2C38-4892-9AD2-EEE3FE2BFD6B}" sourceName="Date">
  <pivotTables>
    <pivotTable tabId="2" name="PivotTable1"/>
    <pivotTable tabId="2" name="PivotTable12"/>
    <pivotTable tabId="2" name="PivotTable13"/>
  </pivotTables>
  <state minimalRefreshVersion="6" lastRefreshVersion="6" pivotCacheId="830846043" filterType="dateBetween">
    <selection startDate="2025-01-01T00:00:00" endDate="2025-01-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E1D5527-2D6B-4146-917A-EA68636C74F3}" cache="NativeTimeline_Date" caption="Date" showSelectionLabel="0" showTimeLevel="0" level="2" selectionLevel="2"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4E8AD-DD04-4B38-B786-9E6F200B512E}">
  <dimension ref="A1:J17"/>
  <sheetViews>
    <sheetView zoomScaleNormal="100" workbookViewId="0">
      <selection activeCell="I6" sqref="I6"/>
    </sheetView>
  </sheetViews>
  <sheetFormatPr defaultRowHeight="14.5" x14ac:dyDescent="0.35"/>
  <cols>
    <col min="1" max="1" width="12.36328125" bestFit="1" customWidth="1"/>
    <col min="2" max="2" width="10.08984375" bestFit="1" customWidth="1"/>
    <col min="4" max="4" width="10.08984375" bestFit="1" customWidth="1"/>
    <col min="5" max="5" width="12.08984375" bestFit="1" customWidth="1"/>
    <col min="6" max="6" width="11.36328125" bestFit="1" customWidth="1"/>
    <col min="9" max="9" width="12.36328125" bestFit="1" customWidth="1"/>
    <col min="10" max="10" width="11.36328125" bestFit="1" customWidth="1"/>
  </cols>
  <sheetData>
    <row r="1" spans="1:10" x14ac:dyDescent="0.35">
      <c r="B1" t="s">
        <v>32</v>
      </c>
      <c r="J1" t="s">
        <v>33</v>
      </c>
    </row>
    <row r="2" spans="1:10" x14ac:dyDescent="0.35">
      <c r="A2">
        <v>1</v>
      </c>
      <c r="D2">
        <v>3</v>
      </c>
    </row>
    <row r="3" spans="1:10" x14ac:dyDescent="0.35">
      <c r="A3" s="2" t="s">
        <v>23</v>
      </c>
      <c r="B3" t="s">
        <v>26</v>
      </c>
      <c r="D3" s="2" t="s">
        <v>23</v>
      </c>
      <c r="E3" t="s">
        <v>25</v>
      </c>
      <c r="I3" s="2" t="s">
        <v>23</v>
      </c>
      <c r="J3" t="s">
        <v>25</v>
      </c>
    </row>
    <row r="4" spans="1:10" x14ac:dyDescent="0.35">
      <c r="A4" s="3" t="s">
        <v>3</v>
      </c>
      <c r="B4">
        <v>5</v>
      </c>
      <c r="D4" s="3" t="s">
        <v>27</v>
      </c>
      <c r="E4">
        <v>1014550</v>
      </c>
      <c r="I4" s="3" t="s">
        <v>14</v>
      </c>
      <c r="J4">
        <v>185400</v>
      </c>
    </row>
    <row r="5" spans="1:10" x14ac:dyDescent="0.35">
      <c r="A5" s="3" t="s">
        <v>7</v>
      </c>
      <c r="B5">
        <v>14</v>
      </c>
      <c r="D5" s="3" t="s">
        <v>28</v>
      </c>
      <c r="E5">
        <v>926100</v>
      </c>
      <c r="I5" s="3" t="s">
        <v>8</v>
      </c>
      <c r="J5">
        <v>132450</v>
      </c>
    </row>
    <row r="6" spans="1:10" x14ac:dyDescent="0.35">
      <c r="A6" s="3" t="s">
        <v>6</v>
      </c>
      <c r="B6">
        <v>14</v>
      </c>
      <c r="D6" s="3" t="s">
        <v>29</v>
      </c>
      <c r="E6">
        <v>1108400</v>
      </c>
      <c r="I6" s="3" t="s">
        <v>10</v>
      </c>
      <c r="J6">
        <v>204050</v>
      </c>
    </row>
    <row r="7" spans="1:10" x14ac:dyDescent="0.35">
      <c r="A7" s="3" t="s">
        <v>2</v>
      </c>
      <c r="B7">
        <v>11</v>
      </c>
      <c r="D7" s="3" t="s">
        <v>30</v>
      </c>
      <c r="E7">
        <v>1038900</v>
      </c>
      <c r="I7" s="3" t="s">
        <v>0</v>
      </c>
      <c r="J7">
        <v>187150</v>
      </c>
    </row>
    <row r="8" spans="1:10" x14ac:dyDescent="0.35">
      <c r="A8" s="3" t="s">
        <v>4</v>
      </c>
      <c r="B8">
        <v>14</v>
      </c>
      <c r="D8" s="3" t="s">
        <v>24</v>
      </c>
      <c r="E8">
        <v>4087950</v>
      </c>
      <c r="I8" s="3" t="s">
        <v>24</v>
      </c>
      <c r="J8">
        <v>709050</v>
      </c>
    </row>
    <row r="9" spans="1:10" x14ac:dyDescent="0.35">
      <c r="A9" s="3" t="s">
        <v>5</v>
      </c>
      <c r="B9">
        <v>6</v>
      </c>
    </row>
    <row r="10" spans="1:10" x14ac:dyDescent="0.35">
      <c r="A10" s="3" t="s">
        <v>24</v>
      </c>
      <c r="B10">
        <v>64</v>
      </c>
    </row>
    <row r="12" spans="1:10" x14ac:dyDescent="0.35">
      <c r="A12" s="2" t="s">
        <v>23</v>
      </c>
      <c r="B12" t="s">
        <v>26</v>
      </c>
      <c r="D12" t="s">
        <v>25</v>
      </c>
      <c r="E12" t="s">
        <v>31</v>
      </c>
      <c r="I12" s="2" t="s">
        <v>23</v>
      </c>
      <c r="J12" t="s">
        <v>25</v>
      </c>
    </row>
    <row r="13" spans="1:10" x14ac:dyDescent="0.35">
      <c r="A13" s="3" t="s">
        <v>9</v>
      </c>
      <c r="B13">
        <v>456</v>
      </c>
      <c r="D13">
        <v>210400</v>
      </c>
      <c r="E13" s="4">
        <f>GETPIVOTDATA("Total",$D$12)</f>
        <v>210400</v>
      </c>
      <c r="I13" s="3" t="s">
        <v>9</v>
      </c>
      <c r="J13">
        <v>336500</v>
      </c>
    </row>
    <row r="14" spans="1:10" x14ac:dyDescent="0.35">
      <c r="A14" s="3" t="s">
        <v>12</v>
      </c>
      <c r="B14">
        <v>467</v>
      </c>
      <c r="I14" s="3" t="s">
        <v>12</v>
      </c>
      <c r="J14">
        <v>185400</v>
      </c>
    </row>
    <row r="15" spans="1:10" x14ac:dyDescent="0.35">
      <c r="A15" s="3" t="s">
        <v>1</v>
      </c>
      <c r="B15">
        <v>511</v>
      </c>
      <c r="D15" t="s">
        <v>26</v>
      </c>
      <c r="I15" s="3" t="s">
        <v>1</v>
      </c>
      <c r="J15">
        <v>187150</v>
      </c>
    </row>
    <row r="16" spans="1:10" x14ac:dyDescent="0.35">
      <c r="A16" s="3" t="s">
        <v>24</v>
      </c>
      <c r="B16">
        <v>1434</v>
      </c>
      <c r="D16">
        <v>64</v>
      </c>
      <c r="E16">
        <f>GETPIVOTDATA("Qty",$D$15)</f>
        <v>64</v>
      </c>
      <c r="I16" s="3" t="s">
        <v>24</v>
      </c>
      <c r="J16">
        <v>709050</v>
      </c>
    </row>
    <row r="17" spans="1:1" x14ac:dyDescent="0.35">
      <c r="A17">
        <v>2</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30B1-77D1-42EA-9755-8ED129E25A26}">
  <dimension ref="A1"/>
  <sheetViews>
    <sheetView showGridLines="0" zoomScale="99"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95E9-DFA5-478E-9DF4-3A704441B562}">
  <dimension ref="A1"/>
  <sheetViews>
    <sheetView tabSelected="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5F44-542E-4F70-9410-2E4A0BBAC458}">
  <dimension ref="A1:H145"/>
  <sheetViews>
    <sheetView workbookViewId="0">
      <selection activeCell="L11" sqref="L11"/>
    </sheetView>
  </sheetViews>
  <sheetFormatPr defaultRowHeight="14.5" x14ac:dyDescent="0.35"/>
  <cols>
    <col min="4" max="4" width="10.08984375" bestFit="1" customWidth="1"/>
  </cols>
  <sheetData>
    <row r="1" spans="1:8" x14ac:dyDescent="0.35">
      <c r="A1" t="s">
        <v>15</v>
      </c>
      <c r="B1" t="s">
        <v>16</v>
      </c>
      <c r="C1" t="s">
        <v>17</v>
      </c>
      <c r="D1" t="s">
        <v>18</v>
      </c>
      <c r="E1" t="s">
        <v>19</v>
      </c>
      <c r="F1" t="s">
        <v>20</v>
      </c>
      <c r="G1" t="s">
        <v>21</v>
      </c>
      <c r="H1" t="s">
        <v>22</v>
      </c>
    </row>
    <row r="2" spans="1:8" x14ac:dyDescent="0.35">
      <c r="A2">
        <v>1</v>
      </c>
      <c r="B2" t="s">
        <v>0</v>
      </c>
      <c r="C2" t="s">
        <v>1</v>
      </c>
      <c r="D2" s="1">
        <v>45658</v>
      </c>
      <c r="E2" t="s">
        <v>2</v>
      </c>
      <c r="F2">
        <v>4</v>
      </c>
      <c r="G2">
        <v>150</v>
      </c>
      <c r="H2">
        <f>F2*G2</f>
        <v>600</v>
      </c>
    </row>
    <row r="3" spans="1:8" x14ac:dyDescent="0.35">
      <c r="A3">
        <v>2</v>
      </c>
      <c r="B3" t="s">
        <v>0</v>
      </c>
      <c r="C3" t="s">
        <v>1</v>
      </c>
      <c r="D3" s="1">
        <v>45658</v>
      </c>
      <c r="E3" t="s">
        <v>3</v>
      </c>
      <c r="F3">
        <v>9</v>
      </c>
      <c r="G3">
        <v>350</v>
      </c>
      <c r="H3">
        <f t="shared" ref="H3:H66" si="0">F3*G3</f>
        <v>3150</v>
      </c>
    </row>
    <row r="4" spans="1:8" x14ac:dyDescent="0.35">
      <c r="A4">
        <v>3</v>
      </c>
      <c r="B4" t="s">
        <v>0</v>
      </c>
      <c r="C4" t="s">
        <v>1</v>
      </c>
      <c r="D4" s="1">
        <v>45658</v>
      </c>
      <c r="E4" t="s">
        <v>4</v>
      </c>
      <c r="F4">
        <v>4</v>
      </c>
      <c r="G4">
        <v>1800</v>
      </c>
      <c r="H4">
        <f t="shared" si="0"/>
        <v>7200</v>
      </c>
    </row>
    <row r="5" spans="1:8" x14ac:dyDescent="0.35">
      <c r="A5">
        <v>4</v>
      </c>
      <c r="B5" t="s">
        <v>0</v>
      </c>
      <c r="C5" t="s">
        <v>1</v>
      </c>
      <c r="D5" s="1">
        <v>45658</v>
      </c>
      <c r="E5" t="s">
        <v>5</v>
      </c>
      <c r="F5">
        <v>16</v>
      </c>
      <c r="G5">
        <v>2300</v>
      </c>
      <c r="H5">
        <f t="shared" si="0"/>
        <v>36800</v>
      </c>
    </row>
    <row r="6" spans="1:8" x14ac:dyDescent="0.35">
      <c r="A6">
        <v>5</v>
      </c>
      <c r="B6" t="s">
        <v>0</v>
      </c>
      <c r="C6" t="s">
        <v>1</v>
      </c>
      <c r="D6" s="1">
        <v>45658</v>
      </c>
      <c r="E6" t="s">
        <v>6</v>
      </c>
      <c r="F6">
        <v>13</v>
      </c>
      <c r="G6">
        <v>4000</v>
      </c>
      <c r="H6">
        <f t="shared" si="0"/>
        <v>52000</v>
      </c>
    </row>
    <row r="7" spans="1:8" x14ac:dyDescent="0.35">
      <c r="A7">
        <v>6</v>
      </c>
      <c r="B7" t="s">
        <v>0</v>
      </c>
      <c r="C7" t="s">
        <v>1</v>
      </c>
      <c r="D7" s="1">
        <v>45658</v>
      </c>
      <c r="E7" t="s">
        <v>7</v>
      </c>
      <c r="F7">
        <v>9</v>
      </c>
      <c r="G7">
        <v>8000</v>
      </c>
      <c r="H7">
        <f t="shared" si="0"/>
        <v>72000</v>
      </c>
    </row>
    <row r="8" spans="1:8" x14ac:dyDescent="0.35">
      <c r="A8">
        <v>7</v>
      </c>
      <c r="B8" t="s">
        <v>8</v>
      </c>
      <c r="C8" t="s">
        <v>9</v>
      </c>
      <c r="D8" s="1">
        <v>45659</v>
      </c>
      <c r="E8" t="s">
        <v>2</v>
      </c>
      <c r="F8">
        <v>14</v>
      </c>
      <c r="G8">
        <v>150</v>
      </c>
      <c r="H8">
        <f t="shared" si="0"/>
        <v>2100</v>
      </c>
    </row>
    <row r="9" spans="1:8" x14ac:dyDescent="0.35">
      <c r="A9">
        <v>8</v>
      </c>
      <c r="B9" t="s">
        <v>10</v>
      </c>
      <c r="C9" t="s">
        <v>9</v>
      </c>
      <c r="D9" s="1">
        <v>45659</v>
      </c>
      <c r="E9" t="s">
        <v>2</v>
      </c>
      <c r="F9">
        <v>13</v>
      </c>
      <c r="G9">
        <v>150</v>
      </c>
      <c r="H9">
        <f t="shared" si="0"/>
        <v>1950</v>
      </c>
    </row>
    <row r="10" spans="1:8" x14ac:dyDescent="0.35">
      <c r="A10">
        <v>9</v>
      </c>
      <c r="B10" t="s">
        <v>8</v>
      </c>
      <c r="C10" t="s">
        <v>9</v>
      </c>
      <c r="D10" s="1">
        <v>45659</v>
      </c>
      <c r="E10" t="s">
        <v>3</v>
      </c>
      <c r="F10">
        <v>14</v>
      </c>
      <c r="G10">
        <v>350</v>
      </c>
      <c r="H10">
        <f t="shared" si="0"/>
        <v>4900</v>
      </c>
    </row>
    <row r="11" spans="1:8" x14ac:dyDescent="0.35">
      <c r="A11">
        <v>10</v>
      </c>
      <c r="B11" t="s">
        <v>10</v>
      </c>
      <c r="C11" t="s">
        <v>9</v>
      </c>
      <c r="D11" s="1">
        <v>45659</v>
      </c>
      <c r="E11" t="s">
        <v>3</v>
      </c>
      <c r="F11">
        <v>11</v>
      </c>
      <c r="G11">
        <v>350</v>
      </c>
      <c r="H11">
        <f t="shared" si="0"/>
        <v>3850</v>
      </c>
    </row>
    <row r="12" spans="1:8" x14ac:dyDescent="0.35">
      <c r="A12">
        <v>11</v>
      </c>
      <c r="B12" t="s">
        <v>8</v>
      </c>
      <c r="C12" t="s">
        <v>9</v>
      </c>
      <c r="D12" s="1">
        <v>45659</v>
      </c>
      <c r="E12" t="s">
        <v>4</v>
      </c>
      <c r="F12">
        <v>15</v>
      </c>
      <c r="G12">
        <v>1800</v>
      </c>
      <c r="H12">
        <f t="shared" si="0"/>
        <v>27000</v>
      </c>
    </row>
    <row r="13" spans="1:8" x14ac:dyDescent="0.35">
      <c r="A13">
        <v>12</v>
      </c>
      <c r="B13" t="s">
        <v>10</v>
      </c>
      <c r="C13" t="s">
        <v>9</v>
      </c>
      <c r="D13" s="1">
        <v>45659</v>
      </c>
      <c r="E13" t="s">
        <v>4</v>
      </c>
      <c r="F13">
        <v>7</v>
      </c>
      <c r="G13">
        <v>1800</v>
      </c>
      <c r="H13">
        <f t="shared" si="0"/>
        <v>12600</v>
      </c>
    </row>
    <row r="14" spans="1:8" x14ac:dyDescent="0.35">
      <c r="A14">
        <v>13</v>
      </c>
      <c r="B14" t="s">
        <v>8</v>
      </c>
      <c r="C14" t="s">
        <v>9</v>
      </c>
      <c r="D14" s="1">
        <v>45659</v>
      </c>
      <c r="E14" t="s">
        <v>5</v>
      </c>
      <c r="F14">
        <v>7</v>
      </c>
      <c r="G14">
        <v>2300</v>
      </c>
      <c r="H14">
        <f t="shared" si="0"/>
        <v>16100</v>
      </c>
    </row>
    <row r="15" spans="1:8" x14ac:dyDescent="0.35">
      <c r="A15">
        <v>14</v>
      </c>
      <c r="B15" t="s">
        <v>10</v>
      </c>
      <c r="C15" t="s">
        <v>9</v>
      </c>
      <c r="D15" s="1">
        <v>45659</v>
      </c>
      <c r="E15" t="s">
        <v>5</v>
      </c>
      <c r="F15">
        <v>13</v>
      </c>
      <c r="G15">
        <v>2300</v>
      </c>
      <c r="H15">
        <f t="shared" si="0"/>
        <v>29900</v>
      </c>
    </row>
    <row r="16" spans="1:8" x14ac:dyDescent="0.35">
      <c r="A16">
        <v>15</v>
      </c>
      <c r="B16" t="s">
        <v>8</v>
      </c>
      <c r="C16" t="s">
        <v>9</v>
      </c>
      <c r="D16" s="1">
        <v>45659</v>
      </c>
      <c r="E16" t="s">
        <v>6</v>
      </c>
      <c r="F16">
        <v>10</v>
      </c>
      <c r="G16">
        <v>4000</v>
      </c>
      <c r="H16">
        <f t="shared" si="0"/>
        <v>40000</v>
      </c>
    </row>
    <row r="17" spans="1:8" x14ac:dyDescent="0.35">
      <c r="A17">
        <v>16</v>
      </c>
      <c r="B17" t="s">
        <v>10</v>
      </c>
      <c r="C17" t="s">
        <v>9</v>
      </c>
      <c r="D17" s="1">
        <v>45659</v>
      </c>
      <c r="E17" t="s">
        <v>6</v>
      </c>
      <c r="F17">
        <v>4</v>
      </c>
      <c r="G17">
        <v>4000</v>
      </c>
      <c r="H17">
        <f t="shared" si="0"/>
        <v>16000</v>
      </c>
    </row>
    <row r="18" spans="1:8" x14ac:dyDescent="0.35">
      <c r="A18">
        <v>17</v>
      </c>
      <c r="B18" t="s">
        <v>10</v>
      </c>
      <c r="C18" t="s">
        <v>9</v>
      </c>
      <c r="D18" s="1">
        <v>45659</v>
      </c>
      <c r="E18" t="s">
        <v>7</v>
      </c>
      <c r="F18">
        <v>13</v>
      </c>
      <c r="G18">
        <v>8000</v>
      </c>
      <c r="H18">
        <f t="shared" si="0"/>
        <v>104000</v>
      </c>
    </row>
    <row r="19" spans="1:8" x14ac:dyDescent="0.35">
      <c r="A19">
        <v>18</v>
      </c>
      <c r="B19" t="s">
        <v>8</v>
      </c>
      <c r="C19" t="s">
        <v>9</v>
      </c>
      <c r="D19" s="1">
        <v>45659</v>
      </c>
      <c r="E19" t="s">
        <v>7</v>
      </c>
      <c r="F19">
        <v>12</v>
      </c>
      <c r="G19">
        <v>8000</v>
      </c>
      <c r="H19">
        <f t="shared" si="0"/>
        <v>96000</v>
      </c>
    </row>
    <row r="20" spans="1:8" x14ac:dyDescent="0.35">
      <c r="A20">
        <v>19</v>
      </c>
      <c r="B20" t="s">
        <v>11</v>
      </c>
      <c r="C20" t="s">
        <v>12</v>
      </c>
      <c r="D20" s="1">
        <v>45660</v>
      </c>
      <c r="E20" t="s">
        <v>2</v>
      </c>
      <c r="F20">
        <v>4</v>
      </c>
      <c r="G20">
        <v>150</v>
      </c>
      <c r="H20">
        <f t="shared" si="0"/>
        <v>600</v>
      </c>
    </row>
    <row r="21" spans="1:8" x14ac:dyDescent="0.35">
      <c r="A21">
        <v>20</v>
      </c>
      <c r="B21" t="s">
        <v>11</v>
      </c>
      <c r="C21" t="s">
        <v>12</v>
      </c>
      <c r="D21" s="1">
        <v>45660</v>
      </c>
      <c r="E21" t="s">
        <v>3</v>
      </c>
      <c r="F21">
        <v>12</v>
      </c>
      <c r="G21">
        <v>350</v>
      </c>
      <c r="H21">
        <f t="shared" si="0"/>
        <v>4200</v>
      </c>
    </row>
    <row r="22" spans="1:8" x14ac:dyDescent="0.35">
      <c r="A22">
        <v>21</v>
      </c>
      <c r="B22" t="s">
        <v>11</v>
      </c>
      <c r="C22" t="s">
        <v>12</v>
      </c>
      <c r="D22" s="1">
        <v>45660</v>
      </c>
      <c r="E22" t="s">
        <v>4</v>
      </c>
      <c r="F22">
        <v>5</v>
      </c>
      <c r="G22">
        <v>1800</v>
      </c>
      <c r="H22">
        <f t="shared" si="0"/>
        <v>9000</v>
      </c>
    </row>
    <row r="23" spans="1:8" x14ac:dyDescent="0.35">
      <c r="A23">
        <v>22</v>
      </c>
      <c r="B23" t="s">
        <v>11</v>
      </c>
      <c r="C23" t="s">
        <v>12</v>
      </c>
      <c r="D23" s="1">
        <v>45660</v>
      </c>
      <c r="E23" t="s">
        <v>5</v>
      </c>
      <c r="F23">
        <v>10</v>
      </c>
      <c r="G23">
        <v>2300</v>
      </c>
      <c r="H23">
        <f t="shared" si="0"/>
        <v>23000</v>
      </c>
    </row>
    <row r="24" spans="1:8" x14ac:dyDescent="0.35">
      <c r="A24">
        <v>23</v>
      </c>
      <c r="B24" t="s">
        <v>11</v>
      </c>
      <c r="C24" t="s">
        <v>12</v>
      </c>
      <c r="D24" s="1">
        <v>45660</v>
      </c>
      <c r="E24" t="s">
        <v>6</v>
      </c>
      <c r="F24">
        <v>10</v>
      </c>
      <c r="G24">
        <v>4000</v>
      </c>
      <c r="H24">
        <f t="shared" si="0"/>
        <v>40000</v>
      </c>
    </row>
    <row r="25" spans="1:8" x14ac:dyDescent="0.35">
      <c r="A25">
        <v>24</v>
      </c>
      <c r="B25" t="s">
        <v>11</v>
      </c>
      <c r="C25" t="s">
        <v>12</v>
      </c>
      <c r="D25" s="1">
        <v>45660</v>
      </c>
      <c r="E25" t="s">
        <v>7</v>
      </c>
      <c r="F25">
        <v>10</v>
      </c>
      <c r="G25">
        <v>8000</v>
      </c>
      <c r="H25">
        <f t="shared" si="0"/>
        <v>80000</v>
      </c>
    </row>
    <row r="26" spans="1:8" x14ac:dyDescent="0.35">
      <c r="A26">
        <v>25</v>
      </c>
      <c r="B26" t="s">
        <v>13</v>
      </c>
      <c r="C26" t="s">
        <v>1</v>
      </c>
      <c r="D26" s="1">
        <v>45661</v>
      </c>
      <c r="E26" t="s">
        <v>2</v>
      </c>
      <c r="F26">
        <v>11</v>
      </c>
      <c r="G26">
        <v>150</v>
      </c>
      <c r="H26">
        <f t="shared" si="0"/>
        <v>1650</v>
      </c>
    </row>
    <row r="27" spans="1:8" x14ac:dyDescent="0.35">
      <c r="A27">
        <v>26</v>
      </c>
      <c r="B27" t="s">
        <v>13</v>
      </c>
      <c r="C27" t="s">
        <v>1</v>
      </c>
      <c r="D27" s="1">
        <v>45661</v>
      </c>
      <c r="E27" t="s">
        <v>3</v>
      </c>
      <c r="F27">
        <v>5</v>
      </c>
      <c r="G27">
        <v>350</v>
      </c>
      <c r="H27">
        <f t="shared" si="0"/>
        <v>1750</v>
      </c>
    </row>
    <row r="28" spans="1:8" x14ac:dyDescent="0.35">
      <c r="A28">
        <v>27</v>
      </c>
      <c r="B28" t="s">
        <v>13</v>
      </c>
      <c r="C28" t="s">
        <v>1</v>
      </c>
      <c r="D28" s="1">
        <v>45661</v>
      </c>
      <c r="E28" t="s">
        <v>4</v>
      </c>
      <c r="F28">
        <v>14</v>
      </c>
      <c r="G28">
        <v>1800</v>
      </c>
      <c r="H28">
        <f t="shared" si="0"/>
        <v>25200</v>
      </c>
    </row>
    <row r="29" spans="1:8" x14ac:dyDescent="0.35">
      <c r="A29">
        <v>28</v>
      </c>
      <c r="B29" t="s">
        <v>13</v>
      </c>
      <c r="C29" t="s">
        <v>1</v>
      </c>
      <c r="D29" s="1">
        <v>45661</v>
      </c>
      <c r="E29" t="s">
        <v>5</v>
      </c>
      <c r="F29">
        <v>6</v>
      </c>
      <c r="G29">
        <v>2300</v>
      </c>
      <c r="H29">
        <f t="shared" si="0"/>
        <v>13800</v>
      </c>
    </row>
    <row r="30" spans="1:8" x14ac:dyDescent="0.35">
      <c r="A30">
        <v>29</v>
      </c>
      <c r="B30" t="s">
        <v>13</v>
      </c>
      <c r="C30" t="s">
        <v>1</v>
      </c>
      <c r="D30" s="1">
        <v>45661</v>
      </c>
      <c r="E30" t="s">
        <v>6</v>
      </c>
      <c r="F30">
        <v>14</v>
      </c>
      <c r="G30">
        <v>4000</v>
      </c>
      <c r="H30">
        <f t="shared" si="0"/>
        <v>56000</v>
      </c>
    </row>
    <row r="31" spans="1:8" x14ac:dyDescent="0.35">
      <c r="A31">
        <v>30</v>
      </c>
      <c r="B31" t="s">
        <v>13</v>
      </c>
      <c r="C31" t="s">
        <v>1</v>
      </c>
      <c r="D31" s="1">
        <v>45661</v>
      </c>
      <c r="E31" t="s">
        <v>7</v>
      </c>
      <c r="F31">
        <v>14</v>
      </c>
      <c r="G31">
        <v>8000</v>
      </c>
      <c r="H31">
        <f t="shared" si="0"/>
        <v>112000</v>
      </c>
    </row>
    <row r="32" spans="1:8" x14ac:dyDescent="0.35">
      <c r="A32">
        <v>31</v>
      </c>
      <c r="B32" t="s">
        <v>14</v>
      </c>
      <c r="C32" t="s">
        <v>12</v>
      </c>
      <c r="D32" s="1">
        <v>45662</v>
      </c>
      <c r="E32" t="s">
        <v>2</v>
      </c>
      <c r="F32">
        <v>9</v>
      </c>
      <c r="G32">
        <v>150</v>
      </c>
      <c r="H32">
        <f t="shared" si="0"/>
        <v>1350</v>
      </c>
    </row>
    <row r="33" spans="1:8" x14ac:dyDescent="0.35">
      <c r="A33">
        <v>32</v>
      </c>
      <c r="B33" t="s">
        <v>14</v>
      </c>
      <c r="C33" t="s">
        <v>12</v>
      </c>
      <c r="D33" s="1">
        <v>45662</v>
      </c>
      <c r="E33" t="s">
        <v>3</v>
      </c>
      <c r="F33">
        <v>7</v>
      </c>
      <c r="G33">
        <v>350</v>
      </c>
      <c r="H33">
        <f t="shared" si="0"/>
        <v>2450</v>
      </c>
    </row>
    <row r="34" spans="1:8" x14ac:dyDescent="0.35">
      <c r="A34">
        <v>33</v>
      </c>
      <c r="B34" t="s">
        <v>14</v>
      </c>
      <c r="C34" t="s">
        <v>12</v>
      </c>
      <c r="D34" s="1">
        <v>45662</v>
      </c>
      <c r="E34" t="s">
        <v>4</v>
      </c>
      <c r="F34">
        <v>7</v>
      </c>
      <c r="G34">
        <v>1800</v>
      </c>
      <c r="H34">
        <f t="shared" si="0"/>
        <v>12600</v>
      </c>
    </row>
    <row r="35" spans="1:8" x14ac:dyDescent="0.35">
      <c r="A35">
        <v>34</v>
      </c>
      <c r="B35" t="s">
        <v>14</v>
      </c>
      <c r="C35" t="s">
        <v>12</v>
      </c>
      <c r="D35" s="1">
        <v>45662</v>
      </c>
      <c r="E35" t="s">
        <v>5</v>
      </c>
      <c r="F35">
        <v>16</v>
      </c>
      <c r="G35">
        <v>2300</v>
      </c>
      <c r="H35">
        <f t="shared" si="0"/>
        <v>36800</v>
      </c>
    </row>
    <row r="36" spans="1:8" x14ac:dyDescent="0.35">
      <c r="A36">
        <v>35</v>
      </c>
      <c r="B36" t="s">
        <v>14</v>
      </c>
      <c r="C36" t="s">
        <v>12</v>
      </c>
      <c r="D36" s="1">
        <v>45662</v>
      </c>
      <c r="E36" t="s">
        <v>6</v>
      </c>
      <c r="F36">
        <v>5</v>
      </c>
      <c r="G36">
        <v>4000</v>
      </c>
      <c r="H36">
        <f t="shared" si="0"/>
        <v>20000</v>
      </c>
    </row>
    <row r="37" spans="1:8" x14ac:dyDescent="0.35">
      <c r="A37">
        <v>36</v>
      </c>
      <c r="B37" t="s">
        <v>14</v>
      </c>
      <c r="C37" t="s">
        <v>12</v>
      </c>
      <c r="D37" s="1">
        <v>45662</v>
      </c>
      <c r="E37" t="s">
        <v>7</v>
      </c>
      <c r="F37">
        <v>6</v>
      </c>
      <c r="G37">
        <v>8000</v>
      </c>
      <c r="H37">
        <f t="shared" si="0"/>
        <v>48000</v>
      </c>
    </row>
    <row r="38" spans="1:8" x14ac:dyDescent="0.35">
      <c r="A38">
        <v>37</v>
      </c>
      <c r="B38" t="s">
        <v>0</v>
      </c>
      <c r="C38" t="s">
        <v>1</v>
      </c>
      <c r="D38" s="1">
        <v>45689</v>
      </c>
      <c r="E38" t="s">
        <v>2</v>
      </c>
      <c r="F38">
        <v>12</v>
      </c>
      <c r="G38">
        <v>150</v>
      </c>
      <c r="H38">
        <f t="shared" si="0"/>
        <v>1800</v>
      </c>
    </row>
    <row r="39" spans="1:8" x14ac:dyDescent="0.35">
      <c r="A39">
        <v>38</v>
      </c>
      <c r="B39" t="s">
        <v>0</v>
      </c>
      <c r="C39" t="s">
        <v>1</v>
      </c>
      <c r="D39" s="1">
        <v>45689</v>
      </c>
      <c r="E39" t="s">
        <v>3</v>
      </c>
      <c r="F39">
        <v>4</v>
      </c>
      <c r="G39">
        <v>350</v>
      </c>
      <c r="H39">
        <f t="shared" si="0"/>
        <v>1400</v>
      </c>
    </row>
    <row r="40" spans="1:8" x14ac:dyDescent="0.35">
      <c r="A40">
        <v>39</v>
      </c>
      <c r="B40" t="s">
        <v>0</v>
      </c>
      <c r="C40" t="s">
        <v>1</v>
      </c>
      <c r="D40" s="1">
        <v>45689</v>
      </c>
      <c r="E40" t="s">
        <v>4</v>
      </c>
      <c r="F40">
        <v>10</v>
      </c>
      <c r="G40">
        <v>1800</v>
      </c>
      <c r="H40">
        <f t="shared" si="0"/>
        <v>18000</v>
      </c>
    </row>
    <row r="41" spans="1:8" x14ac:dyDescent="0.35">
      <c r="A41">
        <v>40</v>
      </c>
      <c r="B41" t="s">
        <v>0</v>
      </c>
      <c r="C41" t="s">
        <v>1</v>
      </c>
      <c r="D41" s="1">
        <v>45689</v>
      </c>
      <c r="E41" t="s">
        <v>5</v>
      </c>
      <c r="F41">
        <v>11</v>
      </c>
      <c r="G41">
        <v>2300</v>
      </c>
      <c r="H41">
        <f t="shared" si="0"/>
        <v>25300</v>
      </c>
    </row>
    <row r="42" spans="1:8" x14ac:dyDescent="0.35">
      <c r="A42">
        <v>41</v>
      </c>
      <c r="B42" t="s">
        <v>0</v>
      </c>
      <c r="C42" t="s">
        <v>1</v>
      </c>
      <c r="D42" s="1">
        <v>45689</v>
      </c>
      <c r="E42" t="s">
        <v>6</v>
      </c>
      <c r="F42">
        <v>12</v>
      </c>
      <c r="G42">
        <v>4000</v>
      </c>
      <c r="H42">
        <f t="shared" si="0"/>
        <v>48000</v>
      </c>
    </row>
    <row r="43" spans="1:8" x14ac:dyDescent="0.35">
      <c r="A43">
        <v>42</v>
      </c>
      <c r="B43" t="s">
        <v>0</v>
      </c>
      <c r="C43" t="s">
        <v>1</v>
      </c>
      <c r="D43" s="1">
        <v>45689</v>
      </c>
      <c r="E43" t="s">
        <v>7</v>
      </c>
      <c r="F43">
        <v>11</v>
      </c>
      <c r="G43">
        <v>8000</v>
      </c>
      <c r="H43">
        <f t="shared" si="0"/>
        <v>88000</v>
      </c>
    </row>
    <row r="44" spans="1:8" x14ac:dyDescent="0.35">
      <c r="A44">
        <v>43</v>
      </c>
      <c r="B44" t="s">
        <v>8</v>
      </c>
      <c r="C44" t="s">
        <v>9</v>
      </c>
      <c r="D44" s="1">
        <v>45690</v>
      </c>
      <c r="E44" t="s">
        <v>2</v>
      </c>
      <c r="F44">
        <v>8</v>
      </c>
      <c r="G44">
        <v>150</v>
      </c>
      <c r="H44">
        <f t="shared" si="0"/>
        <v>1200</v>
      </c>
    </row>
    <row r="45" spans="1:8" x14ac:dyDescent="0.35">
      <c r="A45">
        <v>44</v>
      </c>
      <c r="B45" t="s">
        <v>10</v>
      </c>
      <c r="C45" t="s">
        <v>9</v>
      </c>
      <c r="D45" s="1">
        <v>45690</v>
      </c>
      <c r="E45" t="s">
        <v>2</v>
      </c>
      <c r="F45">
        <v>12</v>
      </c>
      <c r="G45">
        <v>150</v>
      </c>
      <c r="H45">
        <f t="shared" si="0"/>
        <v>1800</v>
      </c>
    </row>
    <row r="46" spans="1:8" x14ac:dyDescent="0.35">
      <c r="A46">
        <v>45</v>
      </c>
      <c r="B46" t="s">
        <v>8</v>
      </c>
      <c r="C46" t="s">
        <v>9</v>
      </c>
      <c r="D46" s="1">
        <v>45690</v>
      </c>
      <c r="E46" t="s">
        <v>3</v>
      </c>
      <c r="F46">
        <v>4</v>
      </c>
      <c r="G46">
        <v>350</v>
      </c>
      <c r="H46">
        <f t="shared" si="0"/>
        <v>1400</v>
      </c>
    </row>
    <row r="47" spans="1:8" x14ac:dyDescent="0.35">
      <c r="A47">
        <v>46</v>
      </c>
      <c r="B47" t="s">
        <v>10</v>
      </c>
      <c r="C47" t="s">
        <v>9</v>
      </c>
      <c r="D47" s="1">
        <v>45690</v>
      </c>
      <c r="E47" t="s">
        <v>3</v>
      </c>
      <c r="F47">
        <v>16</v>
      </c>
      <c r="G47">
        <v>350</v>
      </c>
      <c r="H47">
        <f t="shared" si="0"/>
        <v>5600</v>
      </c>
    </row>
    <row r="48" spans="1:8" x14ac:dyDescent="0.35">
      <c r="A48">
        <v>47</v>
      </c>
      <c r="B48" t="s">
        <v>8</v>
      </c>
      <c r="C48" t="s">
        <v>9</v>
      </c>
      <c r="D48" s="1">
        <v>45690</v>
      </c>
      <c r="E48" t="s">
        <v>4</v>
      </c>
      <c r="F48">
        <v>8</v>
      </c>
      <c r="G48">
        <v>1800</v>
      </c>
      <c r="H48">
        <f t="shared" si="0"/>
        <v>14400</v>
      </c>
    </row>
    <row r="49" spans="1:8" x14ac:dyDescent="0.35">
      <c r="A49">
        <v>48</v>
      </c>
      <c r="B49" t="s">
        <v>10</v>
      </c>
      <c r="C49" t="s">
        <v>9</v>
      </c>
      <c r="D49" s="1">
        <v>45690</v>
      </c>
      <c r="E49" t="s">
        <v>4</v>
      </c>
      <c r="F49">
        <v>4</v>
      </c>
      <c r="G49">
        <v>1800</v>
      </c>
      <c r="H49">
        <f t="shared" si="0"/>
        <v>7200</v>
      </c>
    </row>
    <row r="50" spans="1:8" x14ac:dyDescent="0.35">
      <c r="A50">
        <v>49</v>
      </c>
      <c r="B50" t="s">
        <v>8</v>
      </c>
      <c r="C50" t="s">
        <v>9</v>
      </c>
      <c r="D50" s="1">
        <v>45690</v>
      </c>
      <c r="E50" t="s">
        <v>5</v>
      </c>
      <c r="F50">
        <v>6</v>
      </c>
      <c r="G50">
        <v>2300</v>
      </c>
      <c r="H50">
        <f t="shared" si="0"/>
        <v>13800</v>
      </c>
    </row>
    <row r="51" spans="1:8" x14ac:dyDescent="0.35">
      <c r="A51">
        <v>50</v>
      </c>
      <c r="B51" t="s">
        <v>10</v>
      </c>
      <c r="C51" t="s">
        <v>9</v>
      </c>
      <c r="D51" s="1">
        <v>45690</v>
      </c>
      <c r="E51" t="s">
        <v>5</v>
      </c>
      <c r="F51">
        <v>10</v>
      </c>
      <c r="G51">
        <v>2300</v>
      </c>
      <c r="H51">
        <f t="shared" si="0"/>
        <v>23000</v>
      </c>
    </row>
    <row r="52" spans="1:8" x14ac:dyDescent="0.35">
      <c r="A52">
        <v>51</v>
      </c>
      <c r="B52" t="s">
        <v>8</v>
      </c>
      <c r="C52" t="s">
        <v>9</v>
      </c>
      <c r="D52" s="1">
        <v>45690</v>
      </c>
      <c r="E52" t="s">
        <v>6</v>
      </c>
      <c r="F52">
        <v>13</v>
      </c>
      <c r="G52">
        <v>4000</v>
      </c>
      <c r="H52">
        <f t="shared" si="0"/>
        <v>52000</v>
      </c>
    </row>
    <row r="53" spans="1:8" x14ac:dyDescent="0.35">
      <c r="A53">
        <v>52</v>
      </c>
      <c r="B53" t="s">
        <v>10</v>
      </c>
      <c r="C53" t="s">
        <v>9</v>
      </c>
      <c r="D53" s="1">
        <v>45690</v>
      </c>
      <c r="E53" t="s">
        <v>6</v>
      </c>
      <c r="F53">
        <v>4</v>
      </c>
      <c r="G53">
        <v>4000</v>
      </c>
      <c r="H53">
        <f t="shared" si="0"/>
        <v>16000</v>
      </c>
    </row>
    <row r="54" spans="1:8" x14ac:dyDescent="0.35">
      <c r="A54">
        <v>53</v>
      </c>
      <c r="B54" t="s">
        <v>10</v>
      </c>
      <c r="C54" t="s">
        <v>9</v>
      </c>
      <c r="D54" s="1">
        <v>45690</v>
      </c>
      <c r="E54" t="s">
        <v>7</v>
      </c>
      <c r="F54">
        <v>5</v>
      </c>
      <c r="G54">
        <v>8000</v>
      </c>
      <c r="H54">
        <f t="shared" si="0"/>
        <v>40000</v>
      </c>
    </row>
    <row r="55" spans="1:8" x14ac:dyDescent="0.35">
      <c r="A55">
        <v>54</v>
      </c>
      <c r="B55" t="s">
        <v>8</v>
      </c>
      <c r="C55" t="s">
        <v>9</v>
      </c>
      <c r="D55" s="1">
        <v>45690</v>
      </c>
      <c r="E55" t="s">
        <v>7</v>
      </c>
      <c r="F55">
        <v>6</v>
      </c>
      <c r="G55">
        <v>8000</v>
      </c>
      <c r="H55">
        <f t="shared" si="0"/>
        <v>48000</v>
      </c>
    </row>
    <row r="56" spans="1:8" x14ac:dyDescent="0.35">
      <c r="A56">
        <v>55</v>
      </c>
      <c r="B56" t="s">
        <v>11</v>
      </c>
      <c r="C56" t="s">
        <v>12</v>
      </c>
      <c r="D56" s="1">
        <v>45691</v>
      </c>
      <c r="E56" t="s">
        <v>2</v>
      </c>
      <c r="F56">
        <v>11</v>
      </c>
      <c r="G56">
        <v>150</v>
      </c>
      <c r="H56">
        <f t="shared" si="0"/>
        <v>1650</v>
      </c>
    </row>
    <row r="57" spans="1:8" x14ac:dyDescent="0.35">
      <c r="A57">
        <v>56</v>
      </c>
      <c r="B57" t="s">
        <v>11</v>
      </c>
      <c r="C57" t="s">
        <v>12</v>
      </c>
      <c r="D57" s="1">
        <v>45691</v>
      </c>
      <c r="E57" t="s">
        <v>3</v>
      </c>
      <c r="F57">
        <v>12</v>
      </c>
      <c r="G57">
        <v>350</v>
      </c>
      <c r="H57">
        <f t="shared" si="0"/>
        <v>4200</v>
      </c>
    </row>
    <row r="58" spans="1:8" x14ac:dyDescent="0.35">
      <c r="A58">
        <v>57</v>
      </c>
      <c r="B58" t="s">
        <v>11</v>
      </c>
      <c r="C58" t="s">
        <v>12</v>
      </c>
      <c r="D58" s="1">
        <v>45691</v>
      </c>
      <c r="E58" t="s">
        <v>4</v>
      </c>
      <c r="F58">
        <v>15</v>
      </c>
      <c r="G58">
        <v>1800</v>
      </c>
      <c r="H58">
        <f t="shared" si="0"/>
        <v>27000</v>
      </c>
    </row>
    <row r="59" spans="1:8" x14ac:dyDescent="0.35">
      <c r="A59">
        <v>58</v>
      </c>
      <c r="B59" t="s">
        <v>11</v>
      </c>
      <c r="C59" t="s">
        <v>12</v>
      </c>
      <c r="D59" s="1">
        <v>45691</v>
      </c>
      <c r="E59" t="s">
        <v>5</v>
      </c>
      <c r="F59">
        <v>5</v>
      </c>
      <c r="G59">
        <v>2300</v>
      </c>
      <c r="H59">
        <f t="shared" si="0"/>
        <v>11500</v>
      </c>
    </row>
    <row r="60" spans="1:8" x14ac:dyDescent="0.35">
      <c r="A60">
        <v>59</v>
      </c>
      <c r="B60" t="s">
        <v>11</v>
      </c>
      <c r="C60" t="s">
        <v>12</v>
      </c>
      <c r="D60" s="1">
        <v>45691</v>
      </c>
      <c r="E60" t="s">
        <v>6</v>
      </c>
      <c r="F60">
        <v>5</v>
      </c>
      <c r="G60">
        <v>4000</v>
      </c>
      <c r="H60">
        <f t="shared" si="0"/>
        <v>20000</v>
      </c>
    </row>
    <row r="61" spans="1:8" x14ac:dyDescent="0.35">
      <c r="A61">
        <v>60</v>
      </c>
      <c r="B61" t="s">
        <v>11</v>
      </c>
      <c r="C61" t="s">
        <v>12</v>
      </c>
      <c r="D61" s="1">
        <v>45691</v>
      </c>
      <c r="E61" t="s">
        <v>7</v>
      </c>
      <c r="F61">
        <v>5</v>
      </c>
      <c r="G61">
        <v>8000</v>
      </c>
      <c r="H61">
        <f t="shared" si="0"/>
        <v>40000</v>
      </c>
    </row>
    <row r="62" spans="1:8" x14ac:dyDescent="0.35">
      <c r="A62">
        <v>61</v>
      </c>
      <c r="B62" t="s">
        <v>13</v>
      </c>
      <c r="C62" t="s">
        <v>1</v>
      </c>
      <c r="D62" s="1">
        <v>45692</v>
      </c>
      <c r="E62" t="s">
        <v>2</v>
      </c>
      <c r="F62">
        <v>5</v>
      </c>
      <c r="G62">
        <v>150</v>
      </c>
      <c r="H62">
        <f t="shared" si="0"/>
        <v>750</v>
      </c>
    </row>
    <row r="63" spans="1:8" x14ac:dyDescent="0.35">
      <c r="A63">
        <v>62</v>
      </c>
      <c r="B63" t="s">
        <v>13</v>
      </c>
      <c r="C63" t="s">
        <v>1</v>
      </c>
      <c r="D63" s="1">
        <v>45692</v>
      </c>
      <c r="E63" t="s">
        <v>3</v>
      </c>
      <c r="F63">
        <v>14</v>
      </c>
      <c r="G63">
        <v>350</v>
      </c>
      <c r="H63">
        <f t="shared" si="0"/>
        <v>4900</v>
      </c>
    </row>
    <row r="64" spans="1:8" x14ac:dyDescent="0.35">
      <c r="A64">
        <v>63</v>
      </c>
      <c r="B64" t="s">
        <v>13</v>
      </c>
      <c r="C64" t="s">
        <v>1</v>
      </c>
      <c r="D64" s="1">
        <v>45692</v>
      </c>
      <c r="E64" t="s">
        <v>4</v>
      </c>
      <c r="F64">
        <v>15</v>
      </c>
      <c r="G64">
        <v>1800</v>
      </c>
      <c r="H64">
        <f t="shared" si="0"/>
        <v>27000</v>
      </c>
    </row>
    <row r="65" spans="1:8" x14ac:dyDescent="0.35">
      <c r="A65">
        <v>64</v>
      </c>
      <c r="B65" t="s">
        <v>13</v>
      </c>
      <c r="C65" t="s">
        <v>1</v>
      </c>
      <c r="D65" s="1">
        <v>45692</v>
      </c>
      <c r="E65" t="s">
        <v>5</v>
      </c>
      <c r="F65">
        <v>4</v>
      </c>
      <c r="G65">
        <v>2300</v>
      </c>
      <c r="H65">
        <f t="shared" si="0"/>
        <v>9200</v>
      </c>
    </row>
    <row r="66" spans="1:8" x14ac:dyDescent="0.35">
      <c r="A66">
        <v>65</v>
      </c>
      <c r="B66" t="s">
        <v>13</v>
      </c>
      <c r="C66" t="s">
        <v>1</v>
      </c>
      <c r="D66" s="1">
        <v>45692</v>
      </c>
      <c r="E66" t="s">
        <v>6</v>
      </c>
      <c r="F66">
        <v>7</v>
      </c>
      <c r="G66">
        <v>4000</v>
      </c>
      <c r="H66">
        <f t="shared" si="0"/>
        <v>28000</v>
      </c>
    </row>
    <row r="67" spans="1:8" x14ac:dyDescent="0.35">
      <c r="A67">
        <v>66</v>
      </c>
      <c r="B67" t="s">
        <v>13</v>
      </c>
      <c r="C67" t="s">
        <v>1</v>
      </c>
      <c r="D67" s="1">
        <v>45692</v>
      </c>
      <c r="E67" t="s">
        <v>7</v>
      </c>
      <c r="F67">
        <v>16</v>
      </c>
      <c r="G67">
        <v>8000</v>
      </c>
      <c r="H67">
        <f t="shared" ref="H67:H130" si="1">F67*G67</f>
        <v>128000</v>
      </c>
    </row>
    <row r="68" spans="1:8" x14ac:dyDescent="0.35">
      <c r="A68">
        <v>67</v>
      </c>
      <c r="B68" t="s">
        <v>14</v>
      </c>
      <c r="C68" t="s">
        <v>12</v>
      </c>
      <c r="D68" s="1">
        <v>45693</v>
      </c>
      <c r="E68" t="s">
        <v>2</v>
      </c>
      <c r="F68">
        <v>10</v>
      </c>
      <c r="G68">
        <v>150</v>
      </c>
      <c r="H68">
        <f t="shared" si="1"/>
        <v>1500</v>
      </c>
    </row>
    <row r="69" spans="1:8" x14ac:dyDescent="0.35">
      <c r="A69">
        <v>68</v>
      </c>
      <c r="B69" t="s">
        <v>14</v>
      </c>
      <c r="C69" t="s">
        <v>12</v>
      </c>
      <c r="D69" s="1">
        <v>45693</v>
      </c>
      <c r="E69" t="s">
        <v>3</v>
      </c>
      <c r="F69">
        <v>10</v>
      </c>
      <c r="G69">
        <v>350</v>
      </c>
      <c r="H69">
        <f t="shared" si="1"/>
        <v>3500</v>
      </c>
    </row>
    <row r="70" spans="1:8" x14ac:dyDescent="0.35">
      <c r="A70">
        <v>69</v>
      </c>
      <c r="B70" t="s">
        <v>14</v>
      </c>
      <c r="C70" t="s">
        <v>12</v>
      </c>
      <c r="D70" s="1">
        <v>45693</v>
      </c>
      <c r="E70" t="s">
        <v>4</v>
      </c>
      <c r="F70">
        <v>12</v>
      </c>
      <c r="G70">
        <v>1800</v>
      </c>
      <c r="H70">
        <f t="shared" si="1"/>
        <v>21600</v>
      </c>
    </row>
    <row r="71" spans="1:8" x14ac:dyDescent="0.35">
      <c r="A71">
        <v>70</v>
      </c>
      <c r="B71" t="s">
        <v>14</v>
      </c>
      <c r="C71" t="s">
        <v>12</v>
      </c>
      <c r="D71" s="1">
        <v>45693</v>
      </c>
      <c r="E71" t="s">
        <v>5</v>
      </c>
      <c r="F71">
        <v>8</v>
      </c>
      <c r="G71">
        <v>2300</v>
      </c>
      <c r="H71">
        <f t="shared" si="1"/>
        <v>18400</v>
      </c>
    </row>
    <row r="72" spans="1:8" x14ac:dyDescent="0.35">
      <c r="A72">
        <v>71</v>
      </c>
      <c r="B72" t="s">
        <v>14</v>
      </c>
      <c r="C72" t="s">
        <v>12</v>
      </c>
      <c r="D72" s="1">
        <v>45693</v>
      </c>
      <c r="E72" t="s">
        <v>6</v>
      </c>
      <c r="F72">
        <v>11</v>
      </c>
      <c r="G72">
        <v>4000</v>
      </c>
      <c r="H72">
        <f t="shared" si="1"/>
        <v>44000</v>
      </c>
    </row>
    <row r="73" spans="1:8" x14ac:dyDescent="0.35">
      <c r="A73">
        <v>72</v>
      </c>
      <c r="B73" t="s">
        <v>14</v>
      </c>
      <c r="C73" t="s">
        <v>12</v>
      </c>
      <c r="D73" s="1">
        <v>45693</v>
      </c>
      <c r="E73" t="s">
        <v>7</v>
      </c>
      <c r="F73">
        <v>16</v>
      </c>
      <c r="G73">
        <v>8000</v>
      </c>
      <c r="H73">
        <f t="shared" si="1"/>
        <v>128000</v>
      </c>
    </row>
    <row r="74" spans="1:8" x14ac:dyDescent="0.35">
      <c r="A74">
        <v>73</v>
      </c>
      <c r="B74" t="s">
        <v>0</v>
      </c>
      <c r="C74" t="s">
        <v>1</v>
      </c>
      <c r="D74" s="1">
        <v>45717</v>
      </c>
      <c r="E74" t="s">
        <v>2</v>
      </c>
      <c r="F74">
        <v>5</v>
      </c>
      <c r="G74">
        <v>150</v>
      </c>
      <c r="H74">
        <f t="shared" si="1"/>
        <v>750</v>
      </c>
    </row>
    <row r="75" spans="1:8" x14ac:dyDescent="0.35">
      <c r="A75">
        <v>74</v>
      </c>
      <c r="B75" t="s">
        <v>0</v>
      </c>
      <c r="C75" t="s">
        <v>1</v>
      </c>
      <c r="D75" s="1">
        <v>45717</v>
      </c>
      <c r="E75" t="s">
        <v>3</v>
      </c>
      <c r="F75">
        <v>12</v>
      </c>
      <c r="G75">
        <v>350</v>
      </c>
      <c r="H75">
        <f t="shared" si="1"/>
        <v>4200</v>
      </c>
    </row>
    <row r="76" spans="1:8" x14ac:dyDescent="0.35">
      <c r="A76">
        <v>75</v>
      </c>
      <c r="B76" t="s">
        <v>0</v>
      </c>
      <c r="C76" t="s">
        <v>1</v>
      </c>
      <c r="D76" s="1">
        <v>45717</v>
      </c>
      <c r="E76" t="s">
        <v>4</v>
      </c>
      <c r="F76">
        <v>14</v>
      </c>
      <c r="G76">
        <v>1800</v>
      </c>
      <c r="H76">
        <f t="shared" si="1"/>
        <v>25200</v>
      </c>
    </row>
    <row r="77" spans="1:8" x14ac:dyDescent="0.35">
      <c r="A77">
        <v>76</v>
      </c>
      <c r="B77" t="s">
        <v>0</v>
      </c>
      <c r="C77" t="s">
        <v>1</v>
      </c>
      <c r="D77" s="1">
        <v>45717</v>
      </c>
      <c r="E77" t="s">
        <v>5</v>
      </c>
      <c r="F77">
        <v>8</v>
      </c>
      <c r="G77">
        <v>2300</v>
      </c>
      <c r="H77">
        <f t="shared" si="1"/>
        <v>18400</v>
      </c>
    </row>
    <row r="78" spans="1:8" x14ac:dyDescent="0.35">
      <c r="A78">
        <v>77</v>
      </c>
      <c r="B78" t="s">
        <v>0</v>
      </c>
      <c r="C78" t="s">
        <v>1</v>
      </c>
      <c r="D78" s="1">
        <v>45717</v>
      </c>
      <c r="E78" t="s">
        <v>6</v>
      </c>
      <c r="F78">
        <v>16</v>
      </c>
      <c r="G78">
        <v>4000</v>
      </c>
      <c r="H78">
        <f t="shared" si="1"/>
        <v>64000</v>
      </c>
    </row>
    <row r="79" spans="1:8" x14ac:dyDescent="0.35">
      <c r="A79">
        <v>78</v>
      </c>
      <c r="B79" t="s">
        <v>0</v>
      </c>
      <c r="C79" t="s">
        <v>1</v>
      </c>
      <c r="D79" s="1">
        <v>45717</v>
      </c>
      <c r="E79" t="s">
        <v>7</v>
      </c>
      <c r="F79">
        <v>15</v>
      </c>
      <c r="G79">
        <v>8000</v>
      </c>
      <c r="H79">
        <f t="shared" si="1"/>
        <v>120000</v>
      </c>
    </row>
    <row r="80" spans="1:8" x14ac:dyDescent="0.35">
      <c r="A80">
        <v>79</v>
      </c>
      <c r="B80" t="s">
        <v>8</v>
      </c>
      <c r="C80" t="s">
        <v>9</v>
      </c>
      <c r="D80" s="1">
        <v>45718</v>
      </c>
      <c r="E80" t="s">
        <v>2</v>
      </c>
      <c r="F80">
        <v>4</v>
      </c>
      <c r="G80">
        <v>150</v>
      </c>
      <c r="H80">
        <f t="shared" si="1"/>
        <v>600</v>
      </c>
    </row>
    <row r="81" spans="1:8" x14ac:dyDescent="0.35">
      <c r="A81">
        <v>80</v>
      </c>
      <c r="B81" t="s">
        <v>10</v>
      </c>
      <c r="C81" t="s">
        <v>9</v>
      </c>
      <c r="D81" s="1">
        <v>45718</v>
      </c>
      <c r="E81" t="s">
        <v>2</v>
      </c>
      <c r="F81">
        <v>4</v>
      </c>
      <c r="G81">
        <v>150</v>
      </c>
      <c r="H81">
        <f t="shared" si="1"/>
        <v>600</v>
      </c>
    </row>
    <row r="82" spans="1:8" x14ac:dyDescent="0.35">
      <c r="A82">
        <v>81</v>
      </c>
      <c r="B82" t="s">
        <v>8</v>
      </c>
      <c r="C82" t="s">
        <v>9</v>
      </c>
      <c r="D82" s="1">
        <v>45718</v>
      </c>
      <c r="E82" t="s">
        <v>3</v>
      </c>
      <c r="F82">
        <v>12</v>
      </c>
      <c r="G82">
        <v>350</v>
      </c>
      <c r="H82">
        <f t="shared" si="1"/>
        <v>4200</v>
      </c>
    </row>
    <row r="83" spans="1:8" x14ac:dyDescent="0.35">
      <c r="A83">
        <v>82</v>
      </c>
      <c r="B83" t="s">
        <v>10</v>
      </c>
      <c r="C83" t="s">
        <v>9</v>
      </c>
      <c r="D83" s="1">
        <v>45718</v>
      </c>
      <c r="E83" t="s">
        <v>3</v>
      </c>
      <c r="F83">
        <v>4</v>
      </c>
      <c r="G83">
        <v>350</v>
      </c>
      <c r="H83">
        <f t="shared" si="1"/>
        <v>1400</v>
      </c>
    </row>
    <row r="84" spans="1:8" x14ac:dyDescent="0.35">
      <c r="A84">
        <v>83</v>
      </c>
      <c r="B84" t="s">
        <v>8</v>
      </c>
      <c r="C84" t="s">
        <v>9</v>
      </c>
      <c r="D84" s="1">
        <v>45718</v>
      </c>
      <c r="E84" t="s">
        <v>4</v>
      </c>
      <c r="F84">
        <v>5</v>
      </c>
      <c r="G84">
        <v>1800</v>
      </c>
      <c r="H84">
        <f t="shared" si="1"/>
        <v>9000</v>
      </c>
    </row>
    <row r="85" spans="1:8" x14ac:dyDescent="0.35">
      <c r="A85">
        <v>84</v>
      </c>
      <c r="B85" t="s">
        <v>10</v>
      </c>
      <c r="C85" t="s">
        <v>9</v>
      </c>
      <c r="D85" s="1">
        <v>45718</v>
      </c>
      <c r="E85" t="s">
        <v>4</v>
      </c>
      <c r="F85">
        <v>5</v>
      </c>
      <c r="G85">
        <v>1800</v>
      </c>
      <c r="H85">
        <f t="shared" si="1"/>
        <v>9000</v>
      </c>
    </row>
    <row r="86" spans="1:8" x14ac:dyDescent="0.35">
      <c r="A86">
        <v>85</v>
      </c>
      <c r="B86" t="s">
        <v>8</v>
      </c>
      <c r="C86" t="s">
        <v>9</v>
      </c>
      <c r="D86" s="1">
        <v>45718</v>
      </c>
      <c r="E86" t="s">
        <v>5</v>
      </c>
      <c r="F86">
        <v>15</v>
      </c>
      <c r="G86">
        <v>2300</v>
      </c>
      <c r="H86">
        <f t="shared" si="1"/>
        <v>34500</v>
      </c>
    </row>
    <row r="87" spans="1:8" x14ac:dyDescent="0.35">
      <c r="A87">
        <v>86</v>
      </c>
      <c r="B87" t="s">
        <v>10</v>
      </c>
      <c r="C87" t="s">
        <v>9</v>
      </c>
      <c r="D87" s="1">
        <v>45718</v>
      </c>
      <c r="E87" t="s">
        <v>5</v>
      </c>
      <c r="F87">
        <v>11</v>
      </c>
      <c r="G87">
        <v>2300</v>
      </c>
      <c r="H87">
        <f t="shared" si="1"/>
        <v>25300</v>
      </c>
    </row>
    <row r="88" spans="1:8" x14ac:dyDescent="0.35">
      <c r="A88">
        <v>87</v>
      </c>
      <c r="B88" t="s">
        <v>8</v>
      </c>
      <c r="C88" t="s">
        <v>9</v>
      </c>
      <c r="D88" s="1">
        <v>45718</v>
      </c>
      <c r="E88" t="s">
        <v>6</v>
      </c>
      <c r="F88">
        <v>8</v>
      </c>
      <c r="G88">
        <v>4000</v>
      </c>
      <c r="H88">
        <f t="shared" si="1"/>
        <v>32000</v>
      </c>
    </row>
    <row r="89" spans="1:8" x14ac:dyDescent="0.35">
      <c r="A89">
        <v>88</v>
      </c>
      <c r="B89" t="s">
        <v>10</v>
      </c>
      <c r="C89" t="s">
        <v>9</v>
      </c>
      <c r="D89" s="1">
        <v>45718</v>
      </c>
      <c r="E89" t="s">
        <v>6</v>
      </c>
      <c r="F89">
        <v>15</v>
      </c>
      <c r="G89">
        <v>4000</v>
      </c>
      <c r="H89">
        <f t="shared" si="1"/>
        <v>60000</v>
      </c>
    </row>
    <row r="90" spans="1:8" x14ac:dyDescent="0.35">
      <c r="A90">
        <v>89</v>
      </c>
      <c r="B90" t="s">
        <v>10</v>
      </c>
      <c r="C90" t="s">
        <v>9</v>
      </c>
      <c r="D90" s="1">
        <v>45718</v>
      </c>
      <c r="E90" t="s">
        <v>7</v>
      </c>
      <c r="F90">
        <v>6</v>
      </c>
      <c r="G90">
        <v>8000</v>
      </c>
      <c r="H90">
        <f t="shared" si="1"/>
        <v>48000</v>
      </c>
    </row>
    <row r="91" spans="1:8" x14ac:dyDescent="0.35">
      <c r="A91">
        <v>90</v>
      </c>
      <c r="B91" t="s">
        <v>8</v>
      </c>
      <c r="C91" t="s">
        <v>9</v>
      </c>
      <c r="D91" s="1">
        <v>45718</v>
      </c>
      <c r="E91" t="s">
        <v>7</v>
      </c>
      <c r="F91">
        <v>8</v>
      </c>
      <c r="G91">
        <v>8000</v>
      </c>
      <c r="H91">
        <f t="shared" si="1"/>
        <v>64000</v>
      </c>
    </row>
    <row r="92" spans="1:8" x14ac:dyDescent="0.35">
      <c r="A92">
        <v>91</v>
      </c>
      <c r="B92" t="s">
        <v>11</v>
      </c>
      <c r="C92" t="s">
        <v>12</v>
      </c>
      <c r="D92" s="1">
        <v>45719</v>
      </c>
      <c r="E92" t="s">
        <v>2</v>
      </c>
      <c r="F92">
        <v>5</v>
      </c>
      <c r="G92">
        <v>150</v>
      </c>
      <c r="H92">
        <f t="shared" si="1"/>
        <v>750</v>
      </c>
    </row>
    <row r="93" spans="1:8" x14ac:dyDescent="0.35">
      <c r="A93">
        <v>92</v>
      </c>
      <c r="B93" t="s">
        <v>11</v>
      </c>
      <c r="C93" t="s">
        <v>12</v>
      </c>
      <c r="D93" s="1">
        <v>45719</v>
      </c>
      <c r="E93" t="s">
        <v>3</v>
      </c>
      <c r="F93">
        <v>6</v>
      </c>
      <c r="G93">
        <v>350</v>
      </c>
      <c r="H93">
        <f t="shared" si="1"/>
        <v>2100</v>
      </c>
    </row>
    <row r="94" spans="1:8" x14ac:dyDescent="0.35">
      <c r="A94">
        <v>93</v>
      </c>
      <c r="B94" t="s">
        <v>11</v>
      </c>
      <c r="C94" t="s">
        <v>12</v>
      </c>
      <c r="D94" s="1">
        <v>45719</v>
      </c>
      <c r="E94" t="s">
        <v>4</v>
      </c>
      <c r="F94">
        <v>12</v>
      </c>
      <c r="G94">
        <v>1800</v>
      </c>
      <c r="H94">
        <f t="shared" si="1"/>
        <v>21600</v>
      </c>
    </row>
    <row r="95" spans="1:8" x14ac:dyDescent="0.35">
      <c r="A95">
        <v>94</v>
      </c>
      <c r="B95" t="s">
        <v>11</v>
      </c>
      <c r="C95" t="s">
        <v>12</v>
      </c>
      <c r="D95" s="1">
        <v>45719</v>
      </c>
      <c r="E95" t="s">
        <v>5</v>
      </c>
      <c r="F95">
        <v>6</v>
      </c>
      <c r="G95">
        <v>2300</v>
      </c>
      <c r="H95">
        <f t="shared" si="1"/>
        <v>13800</v>
      </c>
    </row>
    <row r="96" spans="1:8" x14ac:dyDescent="0.35">
      <c r="A96">
        <v>95</v>
      </c>
      <c r="B96" t="s">
        <v>11</v>
      </c>
      <c r="C96" t="s">
        <v>12</v>
      </c>
      <c r="D96" s="1">
        <v>45719</v>
      </c>
      <c r="E96" t="s">
        <v>6</v>
      </c>
      <c r="F96">
        <v>8</v>
      </c>
      <c r="G96">
        <v>4000</v>
      </c>
      <c r="H96">
        <f t="shared" si="1"/>
        <v>32000</v>
      </c>
    </row>
    <row r="97" spans="1:8" x14ac:dyDescent="0.35">
      <c r="A97">
        <v>96</v>
      </c>
      <c r="B97" t="s">
        <v>11</v>
      </c>
      <c r="C97" t="s">
        <v>12</v>
      </c>
      <c r="D97" s="1">
        <v>45719</v>
      </c>
      <c r="E97" t="s">
        <v>7</v>
      </c>
      <c r="F97">
        <v>15</v>
      </c>
      <c r="G97">
        <v>8000</v>
      </c>
      <c r="H97">
        <f t="shared" si="1"/>
        <v>120000</v>
      </c>
    </row>
    <row r="98" spans="1:8" x14ac:dyDescent="0.35">
      <c r="A98">
        <v>97</v>
      </c>
      <c r="B98" t="s">
        <v>13</v>
      </c>
      <c r="C98" t="s">
        <v>1</v>
      </c>
      <c r="D98" s="1">
        <v>45720</v>
      </c>
      <c r="E98" t="s">
        <v>2</v>
      </c>
      <c r="F98">
        <v>10</v>
      </c>
      <c r="G98">
        <v>150</v>
      </c>
      <c r="H98">
        <f t="shared" si="1"/>
        <v>1500</v>
      </c>
    </row>
    <row r="99" spans="1:8" x14ac:dyDescent="0.35">
      <c r="A99">
        <v>98</v>
      </c>
      <c r="B99" t="s">
        <v>13</v>
      </c>
      <c r="C99" t="s">
        <v>1</v>
      </c>
      <c r="D99" s="1">
        <v>45720</v>
      </c>
      <c r="E99" t="s">
        <v>3</v>
      </c>
      <c r="F99">
        <v>9</v>
      </c>
      <c r="G99">
        <v>350</v>
      </c>
      <c r="H99">
        <f t="shared" si="1"/>
        <v>3150</v>
      </c>
    </row>
    <row r="100" spans="1:8" x14ac:dyDescent="0.35">
      <c r="A100">
        <v>99</v>
      </c>
      <c r="B100" t="s">
        <v>13</v>
      </c>
      <c r="C100" t="s">
        <v>1</v>
      </c>
      <c r="D100" s="1">
        <v>45720</v>
      </c>
      <c r="E100" t="s">
        <v>4</v>
      </c>
      <c r="F100">
        <v>9</v>
      </c>
      <c r="G100">
        <v>1800</v>
      </c>
      <c r="H100">
        <f t="shared" si="1"/>
        <v>16200</v>
      </c>
    </row>
    <row r="101" spans="1:8" x14ac:dyDescent="0.35">
      <c r="A101">
        <v>100</v>
      </c>
      <c r="B101" t="s">
        <v>13</v>
      </c>
      <c r="C101" t="s">
        <v>1</v>
      </c>
      <c r="D101" s="1">
        <v>45720</v>
      </c>
      <c r="E101" t="s">
        <v>5</v>
      </c>
      <c r="F101">
        <v>16</v>
      </c>
      <c r="G101">
        <v>2300</v>
      </c>
      <c r="H101">
        <f t="shared" si="1"/>
        <v>36800</v>
      </c>
    </row>
    <row r="102" spans="1:8" x14ac:dyDescent="0.35">
      <c r="A102">
        <v>101</v>
      </c>
      <c r="B102" t="s">
        <v>13</v>
      </c>
      <c r="C102" t="s">
        <v>1</v>
      </c>
      <c r="D102" s="1">
        <v>45720</v>
      </c>
      <c r="E102" t="s">
        <v>6</v>
      </c>
      <c r="F102">
        <v>11</v>
      </c>
      <c r="G102">
        <v>4000</v>
      </c>
      <c r="H102">
        <f t="shared" si="1"/>
        <v>44000</v>
      </c>
    </row>
    <row r="103" spans="1:8" x14ac:dyDescent="0.35">
      <c r="A103">
        <v>102</v>
      </c>
      <c r="B103" t="s">
        <v>13</v>
      </c>
      <c r="C103" t="s">
        <v>1</v>
      </c>
      <c r="D103" s="1">
        <v>45720</v>
      </c>
      <c r="E103" t="s">
        <v>7</v>
      </c>
      <c r="F103">
        <v>8</v>
      </c>
      <c r="G103">
        <v>8000</v>
      </c>
      <c r="H103">
        <f t="shared" si="1"/>
        <v>64000</v>
      </c>
    </row>
    <row r="104" spans="1:8" x14ac:dyDescent="0.35">
      <c r="A104">
        <v>103</v>
      </c>
      <c r="B104" t="s">
        <v>14</v>
      </c>
      <c r="C104" t="s">
        <v>12</v>
      </c>
      <c r="D104" s="1">
        <v>45721</v>
      </c>
      <c r="E104" t="s">
        <v>2</v>
      </c>
      <c r="F104">
        <v>11</v>
      </c>
      <c r="G104">
        <v>150</v>
      </c>
      <c r="H104">
        <f t="shared" si="1"/>
        <v>1650</v>
      </c>
    </row>
    <row r="105" spans="1:8" x14ac:dyDescent="0.35">
      <c r="A105">
        <v>104</v>
      </c>
      <c r="B105" t="s">
        <v>14</v>
      </c>
      <c r="C105" t="s">
        <v>12</v>
      </c>
      <c r="D105" s="1">
        <v>45721</v>
      </c>
      <c r="E105" t="s">
        <v>3</v>
      </c>
      <c r="F105">
        <v>4</v>
      </c>
      <c r="G105">
        <v>350</v>
      </c>
      <c r="H105">
        <f t="shared" si="1"/>
        <v>1400</v>
      </c>
    </row>
    <row r="106" spans="1:8" x14ac:dyDescent="0.35">
      <c r="A106">
        <v>105</v>
      </c>
      <c r="B106" t="s">
        <v>14</v>
      </c>
      <c r="C106" t="s">
        <v>12</v>
      </c>
      <c r="D106" s="1">
        <v>45721</v>
      </c>
      <c r="E106" t="s">
        <v>4</v>
      </c>
      <c r="F106">
        <v>15</v>
      </c>
      <c r="G106">
        <v>1800</v>
      </c>
      <c r="H106">
        <f t="shared" si="1"/>
        <v>27000</v>
      </c>
    </row>
    <row r="107" spans="1:8" x14ac:dyDescent="0.35">
      <c r="A107">
        <v>106</v>
      </c>
      <c r="B107" t="s">
        <v>14</v>
      </c>
      <c r="C107" t="s">
        <v>12</v>
      </c>
      <c r="D107" s="1">
        <v>45721</v>
      </c>
      <c r="E107" t="s">
        <v>5</v>
      </c>
      <c r="F107">
        <v>11</v>
      </c>
      <c r="G107">
        <v>2300</v>
      </c>
      <c r="H107">
        <f t="shared" si="1"/>
        <v>25300</v>
      </c>
    </row>
    <row r="108" spans="1:8" x14ac:dyDescent="0.35">
      <c r="A108">
        <v>107</v>
      </c>
      <c r="B108" t="s">
        <v>14</v>
      </c>
      <c r="C108" t="s">
        <v>12</v>
      </c>
      <c r="D108" s="1">
        <v>45721</v>
      </c>
      <c r="E108" t="s">
        <v>6</v>
      </c>
      <c r="F108">
        <v>14</v>
      </c>
      <c r="G108">
        <v>4000</v>
      </c>
      <c r="H108">
        <f t="shared" si="1"/>
        <v>56000</v>
      </c>
    </row>
    <row r="109" spans="1:8" x14ac:dyDescent="0.35">
      <c r="A109">
        <v>108</v>
      </c>
      <c r="B109" t="s">
        <v>14</v>
      </c>
      <c r="C109" t="s">
        <v>12</v>
      </c>
      <c r="D109" s="1">
        <v>45721</v>
      </c>
      <c r="E109" t="s">
        <v>7</v>
      </c>
      <c r="F109">
        <v>15</v>
      </c>
      <c r="G109">
        <v>8000</v>
      </c>
      <c r="H109">
        <f t="shared" si="1"/>
        <v>120000</v>
      </c>
    </row>
    <row r="110" spans="1:8" x14ac:dyDescent="0.35">
      <c r="A110">
        <v>109</v>
      </c>
      <c r="B110" t="s">
        <v>0</v>
      </c>
      <c r="C110" t="s">
        <v>1</v>
      </c>
      <c r="D110" s="1">
        <v>45748</v>
      </c>
      <c r="E110" t="s">
        <v>2</v>
      </c>
      <c r="F110">
        <v>4</v>
      </c>
      <c r="G110">
        <v>150</v>
      </c>
      <c r="H110">
        <f t="shared" si="1"/>
        <v>600</v>
      </c>
    </row>
    <row r="111" spans="1:8" x14ac:dyDescent="0.35">
      <c r="A111">
        <v>110</v>
      </c>
      <c r="B111" t="s">
        <v>0</v>
      </c>
      <c r="C111" t="s">
        <v>1</v>
      </c>
      <c r="D111" s="1">
        <v>45748</v>
      </c>
      <c r="E111" t="s">
        <v>3</v>
      </c>
      <c r="F111">
        <v>7</v>
      </c>
      <c r="G111">
        <v>350</v>
      </c>
      <c r="H111">
        <f t="shared" si="1"/>
        <v>2450</v>
      </c>
    </row>
    <row r="112" spans="1:8" x14ac:dyDescent="0.35">
      <c r="A112">
        <v>111</v>
      </c>
      <c r="B112" t="s">
        <v>0</v>
      </c>
      <c r="C112" t="s">
        <v>1</v>
      </c>
      <c r="D112" s="1">
        <v>45748</v>
      </c>
      <c r="E112" t="s">
        <v>4</v>
      </c>
      <c r="F112">
        <v>12</v>
      </c>
      <c r="G112">
        <v>1800</v>
      </c>
      <c r="H112">
        <f t="shared" si="1"/>
        <v>21600</v>
      </c>
    </row>
    <row r="113" spans="1:8" x14ac:dyDescent="0.35">
      <c r="A113">
        <v>112</v>
      </c>
      <c r="B113" t="s">
        <v>0</v>
      </c>
      <c r="C113" t="s">
        <v>1</v>
      </c>
      <c r="D113" s="1">
        <v>45748</v>
      </c>
      <c r="E113" t="s">
        <v>5</v>
      </c>
      <c r="F113">
        <v>15</v>
      </c>
      <c r="G113">
        <v>2300</v>
      </c>
      <c r="H113">
        <f t="shared" si="1"/>
        <v>34500</v>
      </c>
    </row>
    <row r="114" spans="1:8" x14ac:dyDescent="0.35">
      <c r="A114">
        <v>113</v>
      </c>
      <c r="B114" t="s">
        <v>0</v>
      </c>
      <c r="C114" t="s">
        <v>1</v>
      </c>
      <c r="D114" s="1">
        <v>45748</v>
      </c>
      <c r="E114" t="s">
        <v>6</v>
      </c>
      <c r="F114">
        <v>12</v>
      </c>
      <c r="G114">
        <v>4000</v>
      </c>
      <c r="H114">
        <f t="shared" si="1"/>
        <v>48000</v>
      </c>
    </row>
    <row r="115" spans="1:8" x14ac:dyDescent="0.35">
      <c r="A115">
        <v>114</v>
      </c>
      <c r="B115" t="s">
        <v>0</v>
      </c>
      <c r="C115" t="s">
        <v>1</v>
      </c>
      <c r="D115" s="1">
        <v>45748</v>
      </c>
      <c r="E115" t="s">
        <v>7</v>
      </c>
      <c r="F115">
        <v>10</v>
      </c>
      <c r="G115">
        <v>8000</v>
      </c>
      <c r="H115">
        <f t="shared" si="1"/>
        <v>80000</v>
      </c>
    </row>
    <row r="116" spans="1:8" x14ac:dyDescent="0.35">
      <c r="A116">
        <v>115</v>
      </c>
      <c r="B116" t="s">
        <v>8</v>
      </c>
      <c r="C116" t="s">
        <v>9</v>
      </c>
      <c r="D116" s="1">
        <v>45749</v>
      </c>
      <c r="E116" t="s">
        <v>2</v>
      </c>
      <c r="F116">
        <v>14</v>
      </c>
      <c r="G116">
        <v>150</v>
      </c>
      <c r="H116">
        <f t="shared" si="1"/>
        <v>2100</v>
      </c>
    </row>
    <row r="117" spans="1:8" x14ac:dyDescent="0.35">
      <c r="A117">
        <v>116</v>
      </c>
      <c r="B117" t="s">
        <v>10</v>
      </c>
      <c r="C117" t="s">
        <v>9</v>
      </c>
      <c r="D117" s="1">
        <v>45749</v>
      </c>
      <c r="E117" t="s">
        <v>2</v>
      </c>
      <c r="F117">
        <v>11</v>
      </c>
      <c r="G117">
        <v>150</v>
      </c>
      <c r="H117">
        <f t="shared" si="1"/>
        <v>1650</v>
      </c>
    </row>
    <row r="118" spans="1:8" x14ac:dyDescent="0.35">
      <c r="A118">
        <v>117</v>
      </c>
      <c r="B118" t="s">
        <v>8</v>
      </c>
      <c r="C118" t="s">
        <v>9</v>
      </c>
      <c r="D118" s="1">
        <v>45749</v>
      </c>
      <c r="E118" t="s">
        <v>3</v>
      </c>
      <c r="F118">
        <v>9</v>
      </c>
      <c r="G118">
        <v>350</v>
      </c>
      <c r="H118">
        <f t="shared" si="1"/>
        <v>3150</v>
      </c>
    </row>
    <row r="119" spans="1:8" x14ac:dyDescent="0.35">
      <c r="A119">
        <v>118</v>
      </c>
      <c r="B119" t="s">
        <v>10</v>
      </c>
      <c r="C119" t="s">
        <v>9</v>
      </c>
      <c r="D119" s="1">
        <v>45749</v>
      </c>
      <c r="E119" t="s">
        <v>3</v>
      </c>
      <c r="F119">
        <v>4</v>
      </c>
      <c r="G119">
        <v>350</v>
      </c>
      <c r="H119">
        <f t="shared" si="1"/>
        <v>1400</v>
      </c>
    </row>
    <row r="120" spans="1:8" x14ac:dyDescent="0.35">
      <c r="A120">
        <v>119</v>
      </c>
      <c r="B120" t="s">
        <v>8</v>
      </c>
      <c r="C120" t="s">
        <v>9</v>
      </c>
      <c r="D120" s="1">
        <v>45749</v>
      </c>
      <c r="E120" t="s">
        <v>4</v>
      </c>
      <c r="F120">
        <v>15</v>
      </c>
      <c r="G120">
        <v>1800</v>
      </c>
      <c r="H120">
        <f t="shared" si="1"/>
        <v>27000</v>
      </c>
    </row>
    <row r="121" spans="1:8" x14ac:dyDescent="0.35">
      <c r="A121">
        <v>120</v>
      </c>
      <c r="B121" t="s">
        <v>10</v>
      </c>
      <c r="C121" t="s">
        <v>9</v>
      </c>
      <c r="D121" s="1">
        <v>45749</v>
      </c>
      <c r="E121" t="s">
        <v>4</v>
      </c>
      <c r="F121">
        <v>16</v>
      </c>
      <c r="G121">
        <v>1800</v>
      </c>
      <c r="H121">
        <f t="shared" si="1"/>
        <v>28800</v>
      </c>
    </row>
    <row r="122" spans="1:8" x14ac:dyDescent="0.35">
      <c r="A122">
        <v>121</v>
      </c>
      <c r="B122" t="s">
        <v>8</v>
      </c>
      <c r="C122" t="s">
        <v>9</v>
      </c>
      <c r="D122" s="1">
        <v>45749</v>
      </c>
      <c r="E122" t="s">
        <v>5</v>
      </c>
      <c r="F122">
        <v>14</v>
      </c>
      <c r="G122">
        <v>2300</v>
      </c>
      <c r="H122">
        <f t="shared" si="1"/>
        <v>32200</v>
      </c>
    </row>
    <row r="123" spans="1:8" x14ac:dyDescent="0.35">
      <c r="A123">
        <v>122</v>
      </c>
      <c r="B123" t="s">
        <v>10</v>
      </c>
      <c r="C123" t="s">
        <v>9</v>
      </c>
      <c r="D123" s="1">
        <v>45749</v>
      </c>
      <c r="E123" t="s">
        <v>5</v>
      </c>
      <c r="F123">
        <v>14</v>
      </c>
      <c r="G123">
        <v>2300</v>
      </c>
      <c r="H123">
        <f t="shared" si="1"/>
        <v>32200</v>
      </c>
    </row>
    <row r="124" spans="1:8" x14ac:dyDescent="0.35">
      <c r="A124">
        <v>123</v>
      </c>
      <c r="B124" t="s">
        <v>8</v>
      </c>
      <c r="C124" t="s">
        <v>9</v>
      </c>
      <c r="D124" s="1">
        <v>45749</v>
      </c>
      <c r="E124" t="s">
        <v>6</v>
      </c>
      <c r="F124">
        <v>9</v>
      </c>
      <c r="G124">
        <v>4000</v>
      </c>
      <c r="H124">
        <f t="shared" si="1"/>
        <v>36000</v>
      </c>
    </row>
    <row r="125" spans="1:8" x14ac:dyDescent="0.35">
      <c r="A125">
        <v>124</v>
      </c>
      <c r="B125" t="s">
        <v>10</v>
      </c>
      <c r="C125" t="s">
        <v>9</v>
      </c>
      <c r="D125" s="1">
        <v>45749</v>
      </c>
      <c r="E125" t="s">
        <v>6</v>
      </c>
      <c r="F125">
        <v>5</v>
      </c>
      <c r="G125">
        <v>4000</v>
      </c>
      <c r="H125">
        <f t="shared" si="1"/>
        <v>20000</v>
      </c>
    </row>
    <row r="126" spans="1:8" x14ac:dyDescent="0.35">
      <c r="A126">
        <v>125</v>
      </c>
      <c r="B126" t="s">
        <v>10</v>
      </c>
      <c r="C126" t="s">
        <v>9</v>
      </c>
      <c r="D126" s="1">
        <v>45749</v>
      </c>
      <c r="E126" t="s">
        <v>7</v>
      </c>
      <c r="F126">
        <v>15</v>
      </c>
      <c r="G126">
        <v>8000</v>
      </c>
      <c r="H126">
        <f t="shared" si="1"/>
        <v>120000</v>
      </c>
    </row>
    <row r="127" spans="1:8" x14ac:dyDescent="0.35">
      <c r="A127">
        <v>126</v>
      </c>
      <c r="B127" t="s">
        <v>8</v>
      </c>
      <c r="C127" t="s">
        <v>9</v>
      </c>
      <c r="D127" s="1">
        <v>45749</v>
      </c>
      <c r="E127" t="s">
        <v>7</v>
      </c>
      <c r="F127">
        <v>4</v>
      </c>
      <c r="G127">
        <v>8000</v>
      </c>
      <c r="H127">
        <f t="shared" si="1"/>
        <v>32000</v>
      </c>
    </row>
    <row r="128" spans="1:8" x14ac:dyDescent="0.35">
      <c r="A128">
        <v>127</v>
      </c>
      <c r="B128" t="s">
        <v>11</v>
      </c>
      <c r="C128" t="s">
        <v>12</v>
      </c>
      <c r="D128" s="1">
        <v>45750</v>
      </c>
      <c r="E128" t="s">
        <v>2</v>
      </c>
      <c r="F128">
        <v>9</v>
      </c>
      <c r="G128">
        <v>150</v>
      </c>
      <c r="H128">
        <f t="shared" si="1"/>
        <v>1350</v>
      </c>
    </row>
    <row r="129" spans="1:8" x14ac:dyDescent="0.35">
      <c r="A129">
        <v>128</v>
      </c>
      <c r="B129" t="s">
        <v>11</v>
      </c>
      <c r="C129" t="s">
        <v>12</v>
      </c>
      <c r="D129" s="1">
        <v>45750</v>
      </c>
      <c r="E129" t="s">
        <v>3</v>
      </c>
      <c r="F129">
        <v>8</v>
      </c>
      <c r="G129">
        <v>350</v>
      </c>
      <c r="H129">
        <f t="shared" si="1"/>
        <v>2800</v>
      </c>
    </row>
    <row r="130" spans="1:8" x14ac:dyDescent="0.35">
      <c r="A130">
        <v>129</v>
      </c>
      <c r="B130" t="s">
        <v>11</v>
      </c>
      <c r="C130" t="s">
        <v>12</v>
      </c>
      <c r="D130" s="1">
        <v>45750</v>
      </c>
      <c r="E130" t="s">
        <v>4</v>
      </c>
      <c r="F130">
        <v>6</v>
      </c>
      <c r="G130">
        <v>1800</v>
      </c>
      <c r="H130">
        <f t="shared" si="1"/>
        <v>10800</v>
      </c>
    </row>
    <row r="131" spans="1:8" x14ac:dyDescent="0.35">
      <c r="A131">
        <v>130</v>
      </c>
      <c r="B131" t="s">
        <v>11</v>
      </c>
      <c r="C131" t="s">
        <v>12</v>
      </c>
      <c r="D131" s="1">
        <v>45750</v>
      </c>
      <c r="E131" t="s">
        <v>5</v>
      </c>
      <c r="F131">
        <v>12</v>
      </c>
      <c r="G131">
        <v>2300</v>
      </c>
      <c r="H131">
        <f t="shared" ref="H131:H145" si="2">F131*G131</f>
        <v>27600</v>
      </c>
    </row>
    <row r="132" spans="1:8" x14ac:dyDescent="0.35">
      <c r="A132">
        <v>131</v>
      </c>
      <c r="B132" t="s">
        <v>11</v>
      </c>
      <c r="C132" t="s">
        <v>12</v>
      </c>
      <c r="D132" s="1">
        <v>45750</v>
      </c>
      <c r="E132" t="s">
        <v>6</v>
      </c>
      <c r="F132">
        <v>9</v>
      </c>
      <c r="G132">
        <v>4000</v>
      </c>
      <c r="H132">
        <f t="shared" si="2"/>
        <v>36000</v>
      </c>
    </row>
    <row r="133" spans="1:8" x14ac:dyDescent="0.35">
      <c r="A133">
        <v>132</v>
      </c>
      <c r="B133" t="s">
        <v>11</v>
      </c>
      <c r="C133" t="s">
        <v>12</v>
      </c>
      <c r="D133" s="1">
        <v>45750</v>
      </c>
      <c r="E133" t="s">
        <v>7</v>
      </c>
      <c r="F133">
        <v>7</v>
      </c>
      <c r="G133">
        <v>8000</v>
      </c>
      <c r="H133">
        <f t="shared" si="2"/>
        <v>56000</v>
      </c>
    </row>
    <row r="134" spans="1:8" x14ac:dyDescent="0.35">
      <c r="A134">
        <v>133</v>
      </c>
      <c r="B134" t="s">
        <v>13</v>
      </c>
      <c r="C134" t="s">
        <v>1</v>
      </c>
      <c r="D134" s="1">
        <v>45751</v>
      </c>
      <c r="E134" t="s">
        <v>2</v>
      </c>
      <c r="F134">
        <v>15</v>
      </c>
      <c r="G134">
        <v>150</v>
      </c>
      <c r="H134">
        <f t="shared" si="2"/>
        <v>2250</v>
      </c>
    </row>
    <row r="135" spans="1:8" x14ac:dyDescent="0.35">
      <c r="A135">
        <v>134</v>
      </c>
      <c r="B135" t="s">
        <v>13</v>
      </c>
      <c r="C135" t="s">
        <v>1</v>
      </c>
      <c r="D135" s="1">
        <v>45751</v>
      </c>
      <c r="E135" t="s">
        <v>3</v>
      </c>
      <c r="F135">
        <v>13</v>
      </c>
      <c r="G135">
        <v>350</v>
      </c>
      <c r="H135">
        <f t="shared" si="2"/>
        <v>4550</v>
      </c>
    </row>
    <row r="136" spans="1:8" x14ac:dyDescent="0.35">
      <c r="A136">
        <v>135</v>
      </c>
      <c r="B136" t="s">
        <v>13</v>
      </c>
      <c r="C136" t="s">
        <v>1</v>
      </c>
      <c r="D136" s="1">
        <v>45751</v>
      </c>
      <c r="E136" t="s">
        <v>4</v>
      </c>
      <c r="F136">
        <v>10</v>
      </c>
      <c r="G136">
        <v>1800</v>
      </c>
      <c r="H136">
        <f t="shared" si="2"/>
        <v>18000</v>
      </c>
    </row>
    <row r="137" spans="1:8" x14ac:dyDescent="0.35">
      <c r="A137">
        <v>136</v>
      </c>
      <c r="B137" t="s">
        <v>13</v>
      </c>
      <c r="C137" t="s">
        <v>1</v>
      </c>
      <c r="D137" s="1">
        <v>45751</v>
      </c>
      <c r="E137" t="s">
        <v>5</v>
      </c>
      <c r="F137">
        <v>15</v>
      </c>
      <c r="G137">
        <v>2300</v>
      </c>
      <c r="H137">
        <f t="shared" si="2"/>
        <v>34500</v>
      </c>
    </row>
    <row r="138" spans="1:8" x14ac:dyDescent="0.35">
      <c r="A138">
        <v>137</v>
      </c>
      <c r="B138" t="s">
        <v>13</v>
      </c>
      <c r="C138" t="s">
        <v>1</v>
      </c>
      <c r="D138" s="1">
        <v>45751</v>
      </c>
      <c r="E138" t="s">
        <v>6</v>
      </c>
      <c r="F138">
        <v>16</v>
      </c>
      <c r="G138">
        <v>4000</v>
      </c>
      <c r="H138">
        <f t="shared" si="2"/>
        <v>64000</v>
      </c>
    </row>
    <row r="139" spans="1:8" x14ac:dyDescent="0.35">
      <c r="A139">
        <v>138</v>
      </c>
      <c r="B139" t="s">
        <v>13</v>
      </c>
      <c r="C139" t="s">
        <v>1</v>
      </c>
      <c r="D139" s="1">
        <v>45751</v>
      </c>
      <c r="E139" t="s">
        <v>7</v>
      </c>
      <c r="F139">
        <v>9</v>
      </c>
      <c r="G139">
        <v>8000</v>
      </c>
      <c r="H139">
        <f t="shared" si="2"/>
        <v>72000</v>
      </c>
    </row>
    <row r="140" spans="1:8" x14ac:dyDescent="0.35">
      <c r="A140">
        <v>139</v>
      </c>
      <c r="B140" t="s">
        <v>14</v>
      </c>
      <c r="C140" t="s">
        <v>12</v>
      </c>
      <c r="D140" s="1">
        <v>45752</v>
      </c>
      <c r="E140" t="s">
        <v>2</v>
      </c>
      <c r="F140">
        <v>13</v>
      </c>
      <c r="G140">
        <v>150</v>
      </c>
      <c r="H140">
        <f t="shared" si="2"/>
        <v>1950</v>
      </c>
    </row>
    <row r="141" spans="1:8" x14ac:dyDescent="0.35">
      <c r="A141">
        <v>140</v>
      </c>
      <c r="B141" t="s">
        <v>14</v>
      </c>
      <c r="C141" t="s">
        <v>12</v>
      </c>
      <c r="D141" s="1">
        <v>45752</v>
      </c>
      <c r="E141" t="s">
        <v>3</v>
      </c>
      <c r="F141">
        <v>11</v>
      </c>
      <c r="G141">
        <v>350</v>
      </c>
      <c r="H141">
        <f t="shared" si="2"/>
        <v>3850</v>
      </c>
    </row>
    <row r="142" spans="1:8" x14ac:dyDescent="0.35">
      <c r="A142">
        <v>141</v>
      </c>
      <c r="B142" t="s">
        <v>14</v>
      </c>
      <c r="C142" t="s">
        <v>12</v>
      </c>
      <c r="D142" s="1">
        <v>45752</v>
      </c>
      <c r="E142" t="s">
        <v>4</v>
      </c>
      <c r="F142">
        <v>13</v>
      </c>
      <c r="G142">
        <v>1800</v>
      </c>
      <c r="H142">
        <f t="shared" si="2"/>
        <v>23400</v>
      </c>
    </row>
    <row r="143" spans="1:8" x14ac:dyDescent="0.35">
      <c r="A143">
        <v>142</v>
      </c>
      <c r="B143" t="s">
        <v>14</v>
      </c>
      <c r="C143" t="s">
        <v>12</v>
      </c>
      <c r="D143" s="1">
        <v>45752</v>
      </c>
      <c r="E143" t="s">
        <v>5</v>
      </c>
      <c r="F143">
        <v>14</v>
      </c>
      <c r="G143">
        <v>2300</v>
      </c>
      <c r="H143">
        <f t="shared" si="2"/>
        <v>32200</v>
      </c>
    </row>
    <row r="144" spans="1:8" x14ac:dyDescent="0.35">
      <c r="A144">
        <v>143</v>
      </c>
      <c r="B144" t="s">
        <v>14</v>
      </c>
      <c r="C144" t="s">
        <v>12</v>
      </c>
      <c r="D144" s="1">
        <v>45752</v>
      </c>
      <c r="E144" t="s">
        <v>6</v>
      </c>
      <c r="F144">
        <v>13</v>
      </c>
      <c r="G144">
        <v>4000</v>
      </c>
      <c r="H144">
        <f t="shared" si="2"/>
        <v>52000</v>
      </c>
    </row>
    <row r="145" spans="1:8" x14ac:dyDescent="0.35">
      <c r="A145">
        <v>144</v>
      </c>
      <c r="B145" t="s">
        <v>14</v>
      </c>
      <c r="C145" t="s">
        <v>12</v>
      </c>
      <c r="D145" s="1">
        <v>45752</v>
      </c>
      <c r="E145" t="s">
        <v>7</v>
      </c>
      <c r="F145">
        <v>9</v>
      </c>
      <c r="G145">
        <v>8000</v>
      </c>
      <c r="H145">
        <f t="shared" si="2"/>
        <v>72000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SELLER DASHBOARD</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Raghuwanshi</dc:creator>
  <cp:lastModifiedBy>Khushi Raghuwanshi</cp:lastModifiedBy>
  <dcterms:created xsi:type="dcterms:W3CDTF">2026-06-16T11:33:24Z</dcterms:created>
  <dcterms:modified xsi:type="dcterms:W3CDTF">2026-06-18T16:53:08Z</dcterms:modified>
</cp:coreProperties>
</file>